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ar-medicine-memory\"/>
    </mc:Choice>
  </mc:AlternateContent>
  <xr:revisionPtr revIDLastSave="0" documentId="13_ncr:1_{64F95AC3-CDAA-49FF-B53C-B6EF4AFA37B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Лист1" sheetId="1" r:id="rId1"/>
    <sheet name="Лист3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J44" i="1"/>
  <c r="S44" i="1"/>
  <c r="C50" i="1"/>
  <c r="R50" i="1"/>
  <c r="O50" i="1"/>
  <c r="L50" i="1"/>
  <c r="I50" i="1"/>
  <c r="F50" i="1"/>
  <c r="A47" i="1"/>
  <c r="AT3" i="1"/>
  <c r="AT4" i="1"/>
  <c r="AT5" i="1"/>
  <c r="AT6" i="1"/>
  <c r="AT43" i="1" s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2" i="1"/>
  <c r="AS43" i="1"/>
  <c r="B43" i="1"/>
  <c r="E43" i="1"/>
  <c r="F43" i="1"/>
  <c r="I43" i="1"/>
  <c r="K43" i="1"/>
  <c r="L43" i="1"/>
  <c r="M43" i="1"/>
  <c r="N43" i="1"/>
  <c r="O43" i="1"/>
  <c r="P43" i="1"/>
  <c r="Q43" i="1"/>
  <c r="R43" i="1"/>
  <c r="T43" i="1"/>
  <c r="U43" i="1"/>
  <c r="V43" i="1"/>
  <c r="W43" i="1"/>
  <c r="X43" i="1"/>
  <c r="Y43" i="1"/>
  <c r="Z43" i="1"/>
  <c r="AA43" i="1"/>
  <c r="AC43" i="1"/>
  <c r="AD43" i="1"/>
  <c r="AE43" i="1"/>
  <c r="AF43" i="1"/>
  <c r="AG43" i="1"/>
  <c r="AH43" i="1"/>
  <c r="AI43" i="1"/>
  <c r="AJ43" i="1"/>
  <c r="AL43" i="1"/>
  <c r="AM43" i="1"/>
  <c r="AN43" i="1"/>
  <c r="AO43" i="1"/>
  <c r="AP43" i="1"/>
  <c r="AQ43" i="1"/>
  <c r="AR43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2" i="1"/>
  <c r="AK43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D43" i="1"/>
  <c r="C43" i="1"/>
  <c r="H43" i="1"/>
  <c r="J43" i="1" l="1"/>
  <c r="S43" i="1"/>
  <c r="AB43" i="1"/>
</calcChain>
</file>

<file path=xl/sharedStrings.xml><?xml version="1.0" encoding="utf-8"?>
<sst xmlns="http://schemas.openxmlformats.org/spreadsheetml/2006/main" count="213" uniqueCount="143">
  <si>
    <t>Фронт,армия</t>
  </si>
  <si>
    <t>Убито и умерло на этапах санитарной эвакуации_Количество_1941</t>
  </si>
  <si>
    <t>Пропало без вести, попало в плен_Количество_1941</t>
  </si>
  <si>
    <t>Небоевые потери_Количество_1941</t>
  </si>
  <si>
    <t>Итого безвозвратных потерь_Количество_1941</t>
  </si>
  <si>
    <t>Убито и умерло на этапах санитарной эвакуации_Количество_1942</t>
  </si>
  <si>
    <t>Пропало без вести, попало в плен_Количество_1942</t>
  </si>
  <si>
    <t>Небоевые потери_Количество_1942</t>
  </si>
  <si>
    <t>Итого безвозвратных потерь_Количество_1942</t>
  </si>
  <si>
    <t>Убито и умерло на этапах санитарной эвакуации_Количество_1943</t>
  </si>
  <si>
    <t>Пропало без вести, попало в плен_Количество_1943</t>
  </si>
  <si>
    <t>Небоевые потери_Количество_1943</t>
  </si>
  <si>
    <t>Итого безвозвратных потерь_Количество_1943</t>
  </si>
  <si>
    <t>Убито и умерло на этапах санитарной эвакуации_Количество_1944</t>
  </si>
  <si>
    <t>Пропало без вести, попало в плен_Количество_1944</t>
  </si>
  <si>
    <t>Небоевые потери_Количество_1944</t>
  </si>
  <si>
    <t>Итого безвозвратных потерь_Количество_1944</t>
  </si>
  <si>
    <t>Убито и умерло на этапах санитарной эвакуации_Количество_1945</t>
  </si>
  <si>
    <t>Пропало без вести, попало в плен_Количество_1945</t>
  </si>
  <si>
    <t>Небоевые потери_Количество_1945</t>
  </si>
  <si>
    <t>Итого безвозвратных потерь_Количество_1945</t>
  </si>
  <si>
    <t>2-ой Белорусский (2-е формирование) фронт</t>
  </si>
  <si>
    <t>3-ий Белорусский фронт</t>
  </si>
  <si>
    <t>7-ая отдельная армия</t>
  </si>
  <si>
    <t>Брянский фронт (1-е и 2-е формирование)</t>
  </si>
  <si>
    <t>Войска Московской зоны обороны</t>
  </si>
  <si>
    <t>Волховский фронт (1-е и 2-е формирование)</t>
  </si>
  <si>
    <t>Воронежский фронт и 1-ый Украинский фронт</t>
  </si>
  <si>
    <t>Закавказский (2-е формирование)</t>
  </si>
  <si>
    <t>Западный фронт</t>
  </si>
  <si>
    <t>Калининский фронт, 1-ый Прибалтийский фронт, Земландская группа войск</t>
  </si>
  <si>
    <t>Карельский фронт</t>
  </si>
  <si>
    <t>Ленинградский фронт</t>
  </si>
  <si>
    <t>Отдельная Приморская армия (2-е формирование)</t>
  </si>
  <si>
    <t>Прибалтийский и 2-ой Прибалтийский фронты</t>
  </si>
  <si>
    <t>Приморская армия (1-е формирование)</t>
  </si>
  <si>
    <t>Северо-западный фронт</t>
  </si>
  <si>
    <t>Сталинградский (1-е формирование) и Донской фронты</t>
  </si>
  <si>
    <t>Степной, 2-ой Украинский фронты</t>
  </si>
  <si>
    <t>Центральный (2-е формирование), Белорусский (1-е и 2-е формирования), 1-ый Белорусский (1-е и 2-е формирования)</t>
  </si>
  <si>
    <t>Юго-Западный (2-е формирование) и 3-ий Украинский фронты</t>
  </si>
  <si>
    <t>Южный (2-е формирование) и 4-ый Украинский фронты</t>
  </si>
  <si>
    <t>Южный фронт (1-е формирование)</t>
  </si>
  <si>
    <t>1-ый Дальневосточный фронт</t>
  </si>
  <si>
    <t>14-ая отдельная армия</t>
  </si>
  <si>
    <t>2-ой Белорусский (1-е формирование) фронт</t>
  </si>
  <si>
    <t>2-ой Дальневосточный фронт</t>
  </si>
  <si>
    <t>3-ий Прибалтийский фронт</t>
  </si>
  <si>
    <t>37-ая отдельная армия</t>
  </si>
  <si>
    <t>4-ая отдельная армия</t>
  </si>
  <si>
    <t>51-ая отдельная армия</t>
  </si>
  <si>
    <t>52-отдельная армия</t>
  </si>
  <si>
    <t>Восточный и Сталинградский (2-е формирование) фронты</t>
  </si>
  <si>
    <t>Забайкальский фронт</t>
  </si>
  <si>
    <t>Кавказский фронт</t>
  </si>
  <si>
    <t>Крымский фронт</t>
  </si>
  <si>
    <t>Северо-Кавказский фронт (1-е формирование)</t>
  </si>
  <si>
    <t>Северо-Кавказский фронт (2-е формирование)</t>
  </si>
  <si>
    <t>Центральный фронт (1-е формирование)</t>
  </si>
  <si>
    <t>Резервный (2-е формирование), Курский, Орловский, Брянский (3-е формирование)</t>
  </si>
  <si>
    <t>Резервный фронт (1-е формирование)</t>
  </si>
  <si>
    <t>Северный фронт</t>
  </si>
  <si>
    <t>Всего</t>
  </si>
  <si>
    <t>Ранено, контужено, обожжено_Количество_1941</t>
  </si>
  <si>
    <t>Заболело_Количество_1941</t>
  </si>
  <si>
    <t>Обморожено_Количество_1941</t>
  </si>
  <si>
    <t>Итого санитарных потерь_Количество_1941</t>
  </si>
  <si>
    <t>Ранено, контужено, обожжено_Количество_1942</t>
  </si>
  <si>
    <t>Заболело_Количество_1942</t>
  </si>
  <si>
    <t>Обморожено_Количество_1942</t>
  </si>
  <si>
    <t>Итого санитарных потерь_Количество_1942</t>
  </si>
  <si>
    <t>Ранено, контужено, обожжено_Количество_1943</t>
  </si>
  <si>
    <t>Заболело_Количество_1943</t>
  </si>
  <si>
    <t>Обморожено_Количество_1943</t>
  </si>
  <si>
    <t>Итого санитарных потерь_Количество_1943</t>
  </si>
  <si>
    <t>Ранено, контужено, обожжено_Количество_1944</t>
  </si>
  <si>
    <t>Заболело_Количество_1944</t>
  </si>
  <si>
    <t>Обморожено_Количество_1944</t>
  </si>
  <si>
    <t>Итого санитарных потерь_Количество_1944</t>
  </si>
  <si>
    <t>Ранено, контужено, обожжено_Количество_1945</t>
  </si>
  <si>
    <t>Заболело_Количество_1945</t>
  </si>
  <si>
    <t>Обморожено_Количество_1945</t>
  </si>
  <si>
    <t>-</t>
  </si>
  <si>
    <t>Итого_все потери_1941</t>
  </si>
  <si>
    <t>Итого_все потери_1942</t>
  </si>
  <si>
    <t>Итого_все потери_1943</t>
  </si>
  <si>
    <t>Итого_все потери_1944</t>
  </si>
  <si>
    <t>Небоевые потери</t>
  </si>
  <si>
    <t>Пропавшие без вести, попавшие в плен</t>
  </si>
  <si>
    <t>Раненые, контуженные</t>
  </si>
  <si>
    <t>Заболевшие</t>
  </si>
  <si>
    <t>Обмороженные</t>
  </si>
  <si>
    <t>Убитые и умершие на этапах санитарной эвакуации</t>
  </si>
  <si>
    <t>Убитые и умершие на этапах санитарной эвакуации_процент от всех потерь</t>
  </si>
  <si>
    <t>Убитые и умершие на этапах санитарной эвакуации_процент от годовых потерь</t>
  </si>
  <si>
    <t>Пропавшие без вести, попавшие в плен_процент от годовых потерь</t>
  </si>
  <si>
    <t>Пропавшие без вести, попавшие в плен_процент от всех потерь</t>
  </si>
  <si>
    <t>Небоевые потери_процент от годовых потерь</t>
  </si>
  <si>
    <t>Небоевые потери_процент от всех потерь</t>
  </si>
  <si>
    <t>Раненые, контуженные_процент от годовых потерь</t>
  </si>
  <si>
    <t>Раненые, контуженные_процент от всех потерь</t>
  </si>
  <si>
    <t>Заболевшие_процент от годовых потерь</t>
  </si>
  <si>
    <t>Заболевшие_процент от всех потерь</t>
  </si>
  <si>
    <t>Обмороженные_процент от годовых потерь</t>
  </si>
  <si>
    <t>Обмороженные_процент от всех потерь</t>
  </si>
  <si>
    <t>Итого санитарных потерь_Количество_1945</t>
  </si>
  <si>
    <t>Количество суток</t>
  </si>
  <si>
    <t>Ранено, контужено, обожжено_% к потерям_1941</t>
  </si>
  <si>
    <t>Заболело_% к потерям_1941</t>
  </si>
  <si>
    <t>Обморожено_% к потерям_1941</t>
  </si>
  <si>
    <t>Итого санитарных потерь_% к потерям_1941</t>
  </si>
  <si>
    <t>Итого санитарных потерь_% потерь к численности личного состава_1941</t>
  </si>
  <si>
    <t>Итого санитарных потерь_% среднемесячных потерь к численности личного состава_1941</t>
  </si>
  <si>
    <t>Ранено, контужено, обожжено_% к потерям_1942</t>
  </si>
  <si>
    <t>Заболело_% к потерям_1942</t>
  </si>
  <si>
    <t>Обморожено_% к потерям_1942</t>
  </si>
  <si>
    <t>Итого санитарных потерь_% к потерям_1942</t>
  </si>
  <si>
    <t>Итого санитарных потерь_% потерь к численности личного состава_1942</t>
  </si>
  <si>
    <t>Итого санитарных потерь_% среднемесячных потерь к численности личного состава_1942</t>
  </si>
  <si>
    <t>Ранено, контужено, обожжено_% к потерям_1943</t>
  </si>
  <si>
    <t>Заболело_% к потерям_1943</t>
  </si>
  <si>
    <t>Обморожено_% к потерям_1943</t>
  </si>
  <si>
    <t>Итого санитарных потерь_% к потерям_1943</t>
  </si>
  <si>
    <t>Итого санитарных потерь_% потерь к численности личного состава_1943</t>
  </si>
  <si>
    <t>Итого санитарных потерь_% среднемесячных потерь к численности личного состава_1943</t>
  </si>
  <si>
    <t>Ранено, контужено, обожжено_% к потерям_1944</t>
  </si>
  <si>
    <t>Заболело_% к потерям_1944</t>
  </si>
  <si>
    <t>Обморожено_% к потерям_1944</t>
  </si>
  <si>
    <t>Итого санитарных потерь_% к потерям_1944</t>
  </si>
  <si>
    <t>Итого санитарных потерь_% потерь к численности личного состава_1944</t>
  </si>
  <si>
    <t>Итого санитарных потерь_% среднемесячных потерь к численности личного состава_1944</t>
  </si>
  <si>
    <t>Ранено, контужено, обожжено_% к потерям_1945</t>
  </si>
  <si>
    <t>Заболело_% к потерям_1945</t>
  </si>
  <si>
    <t>Обморожено_% к потерям_1945</t>
  </si>
  <si>
    <t>Итого санитарных потерь_% к потерям_1945</t>
  </si>
  <si>
    <t>Итого санитарных потерь_% потерь к численности личного состава_1945</t>
  </si>
  <si>
    <t>Итого санитарных потерь_% среднемесячных потерь к численности личного состава_1945</t>
  </si>
  <si>
    <t>56.26</t>
  </si>
  <si>
    <t>17.62</t>
  </si>
  <si>
    <t>0.73</t>
  </si>
  <si>
    <t>74.61</t>
  </si>
  <si>
    <t>91.17</t>
  </si>
  <si>
    <t>все потери фронта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</si>
</sst>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4"/>
  <sheetViews>
    <sheetView topLeftCell="C40" zoomScale="69" zoomScaleNormal="40" workbookViewId="0">
      <selection activeCell="Q49" sqref="Q49:Q54"/>
    </sheetView>
  </sheetViews>
  <sheetFormatPr defaultRowHeight="14.5" x14ac:dyDescent="0.35"/>
  <cols>
    <col min="1" max="17" width="15.6328125" customWidth="1"/>
    <col min="18" max="18" width="42.36328125" customWidth="1"/>
    <col min="19" max="44" width="15.632812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63</v>
      </c>
      <c r="F1" t="s">
        <v>64</v>
      </c>
      <c r="G1" t="s">
        <v>65</v>
      </c>
      <c r="H1" t="s">
        <v>4</v>
      </c>
      <c r="I1" t="s">
        <v>66</v>
      </c>
      <c r="J1" t="s">
        <v>83</v>
      </c>
      <c r="K1" t="s">
        <v>5</v>
      </c>
      <c r="L1" t="s">
        <v>6</v>
      </c>
      <c r="M1" t="s">
        <v>7</v>
      </c>
      <c r="N1" t="s">
        <v>67</v>
      </c>
      <c r="O1" t="s">
        <v>68</v>
      </c>
      <c r="P1" t="s">
        <v>69</v>
      </c>
      <c r="Q1" t="s">
        <v>8</v>
      </c>
      <c r="R1" t="s">
        <v>70</v>
      </c>
      <c r="S1" t="s">
        <v>84</v>
      </c>
      <c r="T1" t="s">
        <v>9</v>
      </c>
      <c r="U1" t="s">
        <v>10</v>
      </c>
      <c r="V1" t="s">
        <v>11</v>
      </c>
      <c r="W1" t="s">
        <v>71</v>
      </c>
      <c r="X1" t="s">
        <v>72</v>
      </c>
      <c r="Y1" t="s">
        <v>73</v>
      </c>
      <c r="Z1" t="s">
        <v>12</v>
      </c>
      <c r="AA1" t="s">
        <v>74</v>
      </c>
      <c r="AB1" t="s">
        <v>85</v>
      </c>
      <c r="AC1" t="s">
        <v>13</v>
      </c>
      <c r="AD1" t="s">
        <v>14</v>
      </c>
      <c r="AE1" t="s">
        <v>15</v>
      </c>
      <c r="AF1" t="s">
        <v>75</v>
      </c>
      <c r="AG1" t="s">
        <v>76</v>
      </c>
      <c r="AH1" t="s">
        <v>77</v>
      </c>
      <c r="AI1" t="s">
        <v>16</v>
      </c>
      <c r="AJ1" t="s">
        <v>78</v>
      </c>
      <c r="AK1" t="s">
        <v>86</v>
      </c>
      <c r="AL1" t="s">
        <v>17</v>
      </c>
      <c r="AM1" t="s">
        <v>18</v>
      </c>
      <c r="AN1" t="s">
        <v>19</v>
      </c>
      <c r="AO1" t="s">
        <v>79</v>
      </c>
      <c r="AP1" t="s">
        <v>80</v>
      </c>
      <c r="AQ1" t="s">
        <v>81</v>
      </c>
      <c r="AR1" t="s">
        <v>20</v>
      </c>
      <c r="AS1" t="s">
        <v>105</v>
      </c>
    </row>
    <row r="2" spans="1:46" x14ac:dyDescent="0.35">
      <c r="A2" t="s">
        <v>21</v>
      </c>
      <c r="J2">
        <f>H2+I2</f>
        <v>0</v>
      </c>
      <c r="S2">
        <f>Q2+R2</f>
        <v>0</v>
      </c>
      <c r="AB2">
        <f>Z2+AA2</f>
        <v>0</v>
      </c>
      <c r="AC2">
        <v>40138</v>
      </c>
      <c r="AD2">
        <v>3430</v>
      </c>
      <c r="AE2">
        <v>2592</v>
      </c>
      <c r="AF2">
        <v>136645</v>
      </c>
      <c r="AG2">
        <v>55963</v>
      </c>
      <c r="AH2">
        <v>12</v>
      </c>
      <c r="AI2">
        <v>46160</v>
      </c>
      <c r="AJ2">
        <v>192620</v>
      </c>
      <c r="AK2">
        <f>AI2+AJ2</f>
        <v>238780</v>
      </c>
      <c r="AL2">
        <v>80962</v>
      </c>
      <c r="AM2">
        <v>5921</v>
      </c>
      <c r="AN2">
        <v>3054</v>
      </c>
      <c r="AO2">
        <v>264037</v>
      </c>
      <c r="AP2">
        <v>38107</v>
      </c>
      <c r="AQ2">
        <v>41</v>
      </c>
      <c r="AR2">
        <v>89937</v>
      </c>
      <c r="AS2">
        <v>302185</v>
      </c>
      <c r="AT2">
        <f>AR2+AS2</f>
        <v>392122</v>
      </c>
    </row>
    <row r="3" spans="1:46" x14ac:dyDescent="0.35">
      <c r="A3" t="s">
        <v>22</v>
      </c>
      <c r="J3">
        <f t="shared" ref="J3:J42" si="0">H3+I3</f>
        <v>0</v>
      </c>
      <c r="S3">
        <f t="shared" ref="S3:S42" si="1">Q3+R3</f>
        <v>0</v>
      </c>
      <c r="AB3">
        <f t="shared" ref="AB3:AB42" si="2">Z3+AA3</f>
        <v>0</v>
      </c>
      <c r="AC3">
        <v>77733</v>
      </c>
      <c r="AD3">
        <v>5518</v>
      </c>
      <c r="AE3">
        <v>3323</v>
      </c>
      <c r="AF3">
        <v>258611</v>
      </c>
      <c r="AG3">
        <v>76379</v>
      </c>
      <c r="AI3">
        <v>86574</v>
      </c>
      <c r="AJ3">
        <v>334990</v>
      </c>
      <c r="AK3">
        <f t="shared" ref="AK3:AK42" si="3">AI3+AJ3</f>
        <v>421564</v>
      </c>
      <c r="AL3">
        <v>83953</v>
      </c>
      <c r="AM3">
        <v>3774</v>
      </c>
      <c r="AN3">
        <v>1829</v>
      </c>
      <c r="AO3">
        <v>297874</v>
      </c>
      <c r="AP3">
        <v>34396</v>
      </c>
      <c r="AQ3">
        <v>37</v>
      </c>
      <c r="AR3">
        <v>89556</v>
      </c>
      <c r="AS3">
        <v>332307</v>
      </c>
      <c r="AT3">
        <f t="shared" ref="AT3:AT42" si="4">AR3+AS3</f>
        <v>421863</v>
      </c>
    </row>
    <row r="4" spans="1:46" x14ac:dyDescent="0.35">
      <c r="A4" t="s">
        <v>23</v>
      </c>
      <c r="B4">
        <v>4637</v>
      </c>
      <c r="C4">
        <v>5609</v>
      </c>
      <c r="D4">
        <v>346</v>
      </c>
      <c r="E4">
        <v>13112</v>
      </c>
      <c r="F4">
        <v>1245</v>
      </c>
      <c r="H4">
        <v>10592</v>
      </c>
      <c r="I4">
        <v>14682</v>
      </c>
      <c r="J4">
        <f t="shared" si="0"/>
        <v>25274</v>
      </c>
      <c r="K4">
        <v>9304</v>
      </c>
      <c r="L4">
        <v>1289</v>
      </c>
      <c r="M4">
        <v>908</v>
      </c>
      <c r="N4">
        <v>19023</v>
      </c>
      <c r="O4">
        <v>11343</v>
      </c>
      <c r="P4">
        <v>325</v>
      </c>
      <c r="Q4">
        <v>11501</v>
      </c>
      <c r="R4">
        <v>30455</v>
      </c>
      <c r="S4">
        <f t="shared" si="1"/>
        <v>41956</v>
      </c>
      <c r="T4">
        <v>1781</v>
      </c>
      <c r="U4">
        <v>110</v>
      </c>
      <c r="V4">
        <v>268</v>
      </c>
      <c r="W4">
        <v>3072</v>
      </c>
      <c r="X4">
        <v>7429</v>
      </c>
      <c r="Y4">
        <v>89</v>
      </c>
      <c r="Z4">
        <v>2159</v>
      </c>
      <c r="AA4">
        <v>10528</v>
      </c>
      <c r="AB4">
        <f t="shared" si="2"/>
        <v>12687</v>
      </c>
      <c r="AC4">
        <v>70</v>
      </c>
      <c r="AD4">
        <v>2</v>
      </c>
      <c r="AE4">
        <v>13</v>
      </c>
      <c r="AF4">
        <v>98</v>
      </c>
      <c r="AG4">
        <v>662</v>
      </c>
      <c r="AH4">
        <v>27</v>
      </c>
      <c r="AI4">
        <v>85</v>
      </c>
      <c r="AJ4">
        <v>760</v>
      </c>
      <c r="AK4">
        <f t="shared" si="3"/>
        <v>845</v>
      </c>
      <c r="AT4">
        <f t="shared" si="4"/>
        <v>0</v>
      </c>
    </row>
    <row r="5" spans="1:46" x14ac:dyDescent="0.35">
      <c r="A5" t="s">
        <v>24</v>
      </c>
      <c r="B5">
        <v>14231</v>
      </c>
      <c r="C5">
        <v>138417</v>
      </c>
      <c r="D5">
        <v>3044</v>
      </c>
      <c r="E5">
        <v>41133</v>
      </c>
      <c r="F5">
        <v>998</v>
      </c>
      <c r="G5">
        <v>529</v>
      </c>
      <c r="H5">
        <v>155692</v>
      </c>
      <c r="I5">
        <v>42660</v>
      </c>
      <c r="J5">
        <f t="shared" si="0"/>
        <v>198352</v>
      </c>
      <c r="K5">
        <v>49689</v>
      </c>
      <c r="L5">
        <v>46706</v>
      </c>
      <c r="M5">
        <v>7088</v>
      </c>
      <c r="N5">
        <v>122890</v>
      </c>
      <c r="O5">
        <v>26215</v>
      </c>
      <c r="P5">
        <v>1004</v>
      </c>
      <c r="Q5">
        <v>103483</v>
      </c>
      <c r="R5">
        <v>150109</v>
      </c>
      <c r="S5">
        <f t="shared" si="1"/>
        <v>253592</v>
      </c>
      <c r="T5">
        <v>38020</v>
      </c>
      <c r="U5">
        <v>5188</v>
      </c>
      <c r="V5">
        <v>726</v>
      </c>
      <c r="W5">
        <v>80444</v>
      </c>
      <c r="X5">
        <v>10247</v>
      </c>
      <c r="Y5">
        <v>278</v>
      </c>
      <c r="Z5">
        <v>43934</v>
      </c>
      <c r="AA5">
        <v>90969</v>
      </c>
      <c r="AB5">
        <f t="shared" si="2"/>
        <v>134903</v>
      </c>
      <c r="AK5">
        <f t="shared" si="3"/>
        <v>0</v>
      </c>
      <c r="AT5">
        <f t="shared" si="4"/>
        <v>0</v>
      </c>
    </row>
    <row r="6" spans="1:46" x14ac:dyDescent="0.35">
      <c r="A6" t="s">
        <v>25</v>
      </c>
      <c r="B6">
        <v>477</v>
      </c>
      <c r="C6">
        <v>739</v>
      </c>
      <c r="D6">
        <v>9</v>
      </c>
      <c r="E6">
        <v>452</v>
      </c>
      <c r="F6">
        <v>15</v>
      </c>
      <c r="H6">
        <v>1225</v>
      </c>
      <c r="I6">
        <v>469</v>
      </c>
      <c r="J6">
        <f t="shared" si="0"/>
        <v>1694</v>
      </c>
      <c r="K6">
        <v>376</v>
      </c>
      <c r="L6">
        <v>1</v>
      </c>
      <c r="M6">
        <v>790</v>
      </c>
      <c r="N6">
        <v>751</v>
      </c>
      <c r="O6">
        <v>956</v>
      </c>
      <c r="P6">
        <v>2</v>
      </c>
      <c r="Q6">
        <v>1166</v>
      </c>
      <c r="R6">
        <v>1707</v>
      </c>
      <c r="S6">
        <f t="shared" si="1"/>
        <v>2873</v>
      </c>
      <c r="T6">
        <v>41</v>
      </c>
      <c r="V6">
        <v>653</v>
      </c>
      <c r="W6">
        <v>64</v>
      </c>
      <c r="X6">
        <v>3553</v>
      </c>
      <c r="Y6">
        <v>4</v>
      </c>
      <c r="Z6">
        <v>695</v>
      </c>
      <c r="AA6">
        <v>3621</v>
      </c>
      <c r="AB6">
        <f t="shared" si="2"/>
        <v>4316</v>
      </c>
      <c r="AK6">
        <f t="shared" si="3"/>
        <v>0</v>
      </c>
      <c r="AT6">
        <f t="shared" si="4"/>
        <v>0</v>
      </c>
    </row>
    <row r="7" spans="1:46" x14ac:dyDescent="0.35">
      <c r="A7" t="s">
        <v>26</v>
      </c>
      <c r="B7">
        <v>199</v>
      </c>
      <c r="E7">
        <v>1307</v>
      </c>
      <c r="G7">
        <v>542</v>
      </c>
      <c r="H7">
        <v>199</v>
      </c>
      <c r="I7">
        <v>1849</v>
      </c>
      <c r="J7">
        <f t="shared" si="0"/>
        <v>2048</v>
      </c>
      <c r="K7">
        <v>117237</v>
      </c>
      <c r="L7">
        <v>82337</v>
      </c>
      <c r="M7">
        <v>8935</v>
      </c>
      <c r="N7">
        <v>326477</v>
      </c>
      <c r="O7">
        <v>53081</v>
      </c>
      <c r="P7">
        <v>4034</v>
      </c>
      <c r="Q7">
        <v>208509</v>
      </c>
      <c r="R7">
        <v>383592</v>
      </c>
      <c r="S7">
        <f t="shared" si="1"/>
        <v>592101</v>
      </c>
      <c r="T7">
        <v>69794</v>
      </c>
      <c r="U7">
        <v>6520</v>
      </c>
      <c r="V7">
        <v>1590</v>
      </c>
      <c r="W7">
        <v>189587</v>
      </c>
      <c r="X7">
        <v>53766</v>
      </c>
      <c r="Y7">
        <v>147</v>
      </c>
      <c r="Z7">
        <v>77904</v>
      </c>
      <c r="AA7">
        <v>243500</v>
      </c>
      <c r="AB7">
        <f t="shared" si="2"/>
        <v>321404</v>
      </c>
      <c r="AC7">
        <v>11479</v>
      </c>
      <c r="AD7">
        <v>466</v>
      </c>
      <c r="AE7">
        <v>66</v>
      </c>
      <c r="AF7">
        <v>33343</v>
      </c>
      <c r="AG7">
        <v>4939</v>
      </c>
      <c r="AH7">
        <v>11</v>
      </c>
      <c r="AI7">
        <v>12011</v>
      </c>
      <c r="AJ7">
        <v>38293</v>
      </c>
      <c r="AK7">
        <f t="shared" si="3"/>
        <v>50304</v>
      </c>
      <c r="AT7">
        <f t="shared" si="4"/>
        <v>0</v>
      </c>
    </row>
    <row r="8" spans="1:46" x14ac:dyDescent="0.35">
      <c r="A8" t="s">
        <v>27</v>
      </c>
      <c r="J8">
        <f t="shared" si="0"/>
        <v>0</v>
      </c>
      <c r="K8">
        <v>48984</v>
      </c>
      <c r="L8">
        <v>46949</v>
      </c>
      <c r="M8">
        <v>7849</v>
      </c>
      <c r="N8">
        <v>138769</v>
      </c>
      <c r="O8">
        <v>12265</v>
      </c>
      <c r="P8">
        <v>68</v>
      </c>
      <c r="Q8">
        <v>103782</v>
      </c>
      <c r="R8">
        <v>151102</v>
      </c>
      <c r="S8">
        <f t="shared" si="1"/>
        <v>254884</v>
      </c>
      <c r="T8">
        <v>169952</v>
      </c>
      <c r="U8">
        <v>77333</v>
      </c>
      <c r="V8">
        <v>12896</v>
      </c>
      <c r="W8">
        <v>536285</v>
      </c>
      <c r="X8">
        <v>64153</v>
      </c>
      <c r="Y8">
        <v>668</v>
      </c>
      <c r="Z8">
        <v>260181</v>
      </c>
      <c r="AA8">
        <v>601106</v>
      </c>
      <c r="AB8">
        <f t="shared" si="2"/>
        <v>861287</v>
      </c>
      <c r="AC8">
        <v>172828</v>
      </c>
      <c r="AD8">
        <v>45909</v>
      </c>
      <c r="AE8">
        <v>8748</v>
      </c>
      <c r="AF8">
        <v>593361</v>
      </c>
      <c r="AG8">
        <v>134361</v>
      </c>
      <c r="AH8">
        <v>404</v>
      </c>
      <c r="AI8">
        <v>227485</v>
      </c>
      <c r="AJ8">
        <v>728126</v>
      </c>
      <c r="AK8">
        <f t="shared" si="3"/>
        <v>955611</v>
      </c>
      <c r="AL8">
        <v>109634</v>
      </c>
      <c r="AM8">
        <v>11934</v>
      </c>
      <c r="AN8">
        <v>3912</v>
      </c>
      <c r="AO8">
        <v>364103</v>
      </c>
      <c r="AP8">
        <v>39469</v>
      </c>
      <c r="AQ8">
        <v>58</v>
      </c>
      <c r="AR8">
        <v>125480</v>
      </c>
      <c r="AS8">
        <v>403630</v>
      </c>
      <c r="AT8">
        <f t="shared" si="4"/>
        <v>529110</v>
      </c>
    </row>
    <row r="9" spans="1:46" x14ac:dyDescent="0.35">
      <c r="A9" t="s">
        <v>28</v>
      </c>
      <c r="J9">
        <f t="shared" si="0"/>
        <v>0</v>
      </c>
      <c r="K9">
        <v>61569</v>
      </c>
      <c r="L9">
        <v>69540</v>
      </c>
      <c r="M9">
        <v>8235</v>
      </c>
      <c r="N9">
        <v>144250</v>
      </c>
      <c r="O9">
        <v>25395</v>
      </c>
      <c r="P9">
        <v>1696</v>
      </c>
      <c r="Q9">
        <v>139344</v>
      </c>
      <c r="R9">
        <v>171341</v>
      </c>
      <c r="S9">
        <f t="shared" si="1"/>
        <v>310685</v>
      </c>
      <c r="T9">
        <v>11120</v>
      </c>
      <c r="U9">
        <v>2789</v>
      </c>
      <c r="V9">
        <v>905</v>
      </c>
      <c r="W9">
        <v>27269</v>
      </c>
      <c r="X9">
        <v>11414</v>
      </c>
      <c r="Y9">
        <v>2412</v>
      </c>
      <c r="Z9">
        <v>14814</v>
      </c>
      <c r="AA9">
        <v>41095</v>
      </c>
      <c r="AB9">
        <f t="shared" si="2"/>
        <v>55909</v>
      </c>
      <c r="AK9">
        <f t="shared" si="3"/>
        <v>0</v>
      </c>
      <c r="AT9">
        <f t="shared" si="4"/>
        <v>0</v>
      </c>
    </row>
    <row r="10" spans="1:46" x14ac:dyDescent="0.35">
      <c r="A10" t="s">
        <v>29</v>
      </c>
      <c r="B10">
        <v>106997</v>
      </c>
      <c r="C10">
        <v>798465</v>
      </c>
      <c r="D10">
        <v>50831</v>
      </c>
      <c r="E10">
        <v>328735</v>
      </c>
      <c r="F10">
        <v>9069</v>
      </c>
      <c r="G10">
        <v>3857</v>
      </c>
      <c r="H10">
        <v>956293</v>
      </c>
      <c r="I10">
        <v>341661</v>
      </c>
      <c r="J10">
        <f t="shared" si="0"/>
        <v>1297954</v>
      </c>
      <c r="K10">
        <v>244574</v>
      </c>
      <c r="L10">
        <v>44966</v>
      </c>
      <c r="M10">
        <v>25095</v>
      </c>
      <c r="N10">
        <v>665341</v>
      </c>
      <c r="O10">
        <v>105540</v>
      </c>
      <c r="P10">
        <v>3249</v>
      </c>
      <c r="Q10">
        <v>314635</v>
      </c>
      <c r="R10">
        <v>774130</v>
      </c>
      <c r="S10">
        <f t="shared" si="1"/>
        <v>1088765</v>
      </c>
      <c r="T10">
        <v>195525</v>
      </c>
      <c r="U10">
        <v>21333</v>
      </c>
      <c r="V10">
        <v>5541</v>
      </c>
      <c r="W10">
        <v>582977</v>
      </c>
      <c r="X10">
        <v>133954</v>
      </c>
      <c r="Y10">
        <v>245</v>
      </c>
      <c r="Z10">
        <v>222399</v>
      </c>
      <c r="AA10">
        <v>717176</v>
      </c>
      <c r="AB10">
        <f t="shared" si="2"/>
        <v>939575</v>
      </c>
      <c r="AC10">
        <v>39240</v>
      </c>
      <c r="AD10">
        <v>1840</v>
      </c>
      <c r="AE10">
        <v>882</v>
      </c>
      <c r="AF10">
        <v>126468</v>
      </c>
      <c r="AG10">
        <v>39480</v>
      </c>
      <c r="AH10">
        <v>71</v>
      </c>
      <c r="AI10">
        <v>41962</v>
      </c>
      <c r="AJ10">
        <v>166019</v>
      </c>
      <c r="AK10">
        <f t="shared" si="3"/>
        <v>207981</v>
      </c>
      <c r="AT10">
        <f t="shared" si="4"/>
        <v>0</v>
      </c>
    </row>
    <row r="11" spans="1:46" x14ac:dyDescent="0.35">
      <c r="A11" t="s">
        <v>30</v>
      </c>
      <c r="B11">
        <v>23186</v>
      </c>
      <c r="C11">
        <v>18866</v>
      </c>
      <c r="D11">
        <v>7973</v>
      </c>
      <c r="E11">
        <v>65491</v>
      </c>
      <c r="F11">
        <v>1990</v>
      </c>
      <c r="G11">
        <v>1003</v>
      </c>
      <c r="H11">
        <v>50025</v>
      </c>
      <c r="I11">
        <v>68484</v>
      </c>
      <c r="J11">
        <f t="shared" si="0"/>
        <v>118509</v>
      </c>
      <c r="K11">
        <v>221726</v>
      </c>
      <c r="L11">
        <v>55826</v>
      </c>
      <c r="M11">
        <v>13984</v>
      </c>
      <c r="N11">
        <v>507607</v>
      </c>
      <c r="O11">
        <v>60534</v>
      </c>
      <c r="P11">
        <v>5818</v>
      </c>
      <c r="Q11">
        <v>291536</v>
      </c>
      <c r="R11">
        <v>573959</v>
      </c>
      <c r="S11">
        <f t="shared" si="1"/>
        <v>865495</v>
      </c>
      <c r="T11">
        <v>112753</v>
      </c>
      <c r="U11">
        <v>9492</v>
      </c>
      <c r="V11">
        <v>2488</v>
      </c>
      <c r="W11">
        <v>301602</v>
      </c>
      <c r="X11">
        <v>70615</v>
      </c>
      <c r="Y11">
        <v>297</v>
      </c>
      <c r="Z11">
        <v>124733</v>
      </c>
      <c r="AA11">
        <v>372514</v>
      </c>
      <c r="AB11">
        <f t="shared" si="2"/>
        <v>497247</v>
      </c>
      <c r="AC11">
        <v>115090</v>
      </c>
      <c r="AD11">
        <v>13788</v>
      </c>
      <c r="AE11">
        <v>4379</v>
      </c>
      <c r="AF11">
        <v>367995</v>
      </c>
      <c r="AG11">
        <v>97519</v>
      </c>
      <c r="AH11">
        <v>124</v>
      </c>
      <c r="AI11">
        <v>133257</v>
      </c>
      <c r="AJ11">
        <v>465638</v>
      </c>
      <c r="AK11">
        <f t="shared" si="3"/>
        <v>598895</v>
      </c>
      <c r="AL11">
        <v>17891</v>
      </c>
      <c r="AM11">
        <v>2326</v>
      </c>
      <c r="AN11">
        <v>1361</v>
      </c>
      <c r="AO11">
        <v>53786</v>
      </c>
      <c r="AP11">
        <v>17348</v>
      </c>
      <c r="AQ11">
        <v>33</v>
      </c>
      <c r="AR11">
        <v>21578</v>
      </c>
      <c r="AS11">
        <v>71167</v>
      </c>
      <c r="AT11">
        <f t="shared" si="4"/>
        <v>92745</v>
      </c>
    </row>
    <row r="12" spans="1:46" x14ac:dyDescent="0.35">
      <c r="A12" t="s">
        <v>31</v>
      </c>
      <c r="B12">
        <v>14720</v>
      </c>
      <c r="C12">
        <v>18685</v>
      </c>
      <c r="D12">
        <v>632</v>
      </c>
      <c r="E12">
        <v>37092</v>
      </c>
      <c r="F12">
        <v>5292</v>
      </c>
      <c r="G12">
        <v>1374</v>
      </c>
      <c r="H12">
        <v>34037</v>
      </c>
      <c r="I12">
        <v>43758</v>
      </c>
      <c r="J12">
        <f t="shared" si="0"/>
        <v>77795</v>
      </c>
      <c r="K12">
        <v>22927</v>
      </c>
      <c r="L12">
        <v>8086</v>
      </c>
      <c r="M12">
        <v>1491</v>
      </c>
      <c r="N12">
        <v>53849</v>
      </c>
      <c r="O12">
        <v>36202</v>
      </c>
      <c r="P12">
        <v>1154</v>
      </c>
      <c r="Q12">
        <v>32504</v>
      </c>
      <c r="R12">
        <v>91205</v>
      </c>
      <c r="S12">
        <f t="shared" si="1"/>
        <v>123709</v>
      </c>
      <c r="T12">
        <v>8111</v>
      </c>
      <c r="U12">
        <v>456</v>
      </c>
      <c r="V12">
        <v>406</v>
      </c>
      <c r="W12">
        <v>15181</v>
      </c>
      <c r="X12">
        <v>32933</v>
      </c>
      <c r="Y12">
        <v>185</v>
      </c>
      <c r="Z12">
        <v>8973</v>
      </c>
      <c r="AA12">
        <v>48299</v>
      </c>
      <c r="AB12">
        <f t="shared" si="2"/>
        <v>57272</v>
      </c>
      <c r="AC12">
        <v>29777</v>
      </c>
      <c r="AD12">
        <v>3318</v>
      </c>
      <c r="AE12">
        <v>1705</v>
      </c>
      <c r="AF12">
        <v>73873</v>
      </c>
      <c r="AG12">
        <v>50258</v>
      </c>
      <c r="AH12">
        <v>714</v>
      </c>
      <c r="AI12">
        <v>34800</v>
      </c>
      <c r="AJ12">
        <v>124845</v>
      </c>
      <c r="AK12">
        <f t="shared" si="3"/>
        <v>159645</v>
      </c>
      <c r="AN12">
        <v>121</v>
      </c>
      <c r="AP12">
        <v>1718</v>
      </c>
      <c r="AR12">
        <v>121</v>
      </c>
      <c r="AS12">
        <v>1718</v>
      </c>
      <c r="AT12">
        <f t="shared" si="4"/>
        <v>1839</v>
      </c>
    </row>
    <row r="13" spans="1:46" x14ac:dyDescent="0.35">
      <c r="A13" t="s">
        <v>32</v>
      </c>
      <c r="B13">
        <v>62187</v>
      </c>
      <c r="C13">
        <v>74280</v>
      </c>
      <c r="D13">
        <v>8284</v>
      </c>
      <c r="E13">
        <v>165305</v>
      </c>
      <c r="F13">
        <v>17712</v>
      </c>
      <c r="G13">
        <v>1762</v>
      </c>
      <c r="H13">
        <v>144751</v>
      </c>
      <c r="I13">
        <v>184779</v>
      </c>
      <c r="J13">
        <f t="shared" si="0"/>
        <v>329530</v>
      </c>
      <c r="K13">
        <v>62747</v>
      </c>
      <c r="L13">
        <v>14560</v>
      </c>
      <c r="M13">
        <v>6371</v>
      </c>
      <c r="N13">
        <v>153661</v>
      </c>
      <c r="O13">
        <v>80184</v>
      </c>
      <c r="P13">
        <v>1861</v>
      </c>
      <c r="Q13">
        <v>83678</v>
      </c>
      <c r="R13">
        <v>235706</v>
      </c>
      <c r="S13">
        <f t="shared" si="1"/>
        <v>319384</v>
      </c>
      <c r="T13">
        <v>74473</v>
      </c>
      <c r="U13">
        <v>9841</v>
      </c>
      <c r="V13">
        <v>4431</v>
      </c>
      <c r="W13">
        <v>213602</v>
      </c>
      <c r="X13">
        <v>88263</v>
      </c>
      <c r="Y13">
        <v>184</v>
      </c>
      <c r="Z13">
        <v>88745</v>
      </c>
      <c r="AA13">
        <v>302049</v>
      </c>
      <c r="AB13">
        <f t="shared" si="2"/>
        <v>390794</v>
      </c>
      <c r="AC13">
        <v>128999</v>
      </c>
      <c r="AD13">
        <v>12231</v>
      </c>
      <c r="AE13">
        <v>3872</v>
      </c>
      <c r="AF13">
        <v>406153</v>
      </c>
      <c r="AG13">
        <v>114094</v>
      </c>
      <c r="AH13">
        <v>478</v>
      </c>
      <c r="AI13">
        <v>145102</v>
      </c>
      <c r="AJ13">
        <v>520725</v>
      </c>
      <c r="AK13">
        <f t="shared" si="3"/>
        <v>665827</v>
      </c>
      <c r="AL13">
        <v>3653</v>
      </c>
      <c r="AM13">
        <v>230</v>
      </c>
      <c r="AN13">
        <v>1366</v>
      </c>
      <c r="AO13">
        <v>11040</v>
      </c>
      <c r="AP13">
        <v>33073</v>
      </c>
      <c r="AQ13">
        <v>1</v>
      </c>
      <c r="AR13">
        <v>5249</v>
      </c>
      <c r="AS13">
        <v>44114</v>
      </c>
      <c r="AT13">
        <f t="shared" si="4"/>
        <v>49363</v>
      </c>
    </row>
    <row r="14" spans="1:46" x14ac:dyDescent="0.35">
      <c r="A14" t="s">
        <v>33</v>
      </c>
      <c r="J14">
        <f t="shared" si="0"/>
        <v>0</v>
      </c>
      <c r="S14">
        <f t="shared" si="1"/>
        <v>0</v>
      </c>
      <c r="T14">
        <v>2762</v>
      </c>
      <c r="U14">
        <v>1302</v>
      </c>
      <c r="V14">
        <v>130</v>
      </c>
      <c r="W14">
        <v>6075</v>
      </c>
      <c r="X14">
        <v>3651</v>
      </c>
      <c r="Z14">
        <v>4194</v>
      </c>
      <c r="AA14">
        <v>9726</v>
      </c>
      <c r="AB14">
        <f t="shared" si="2"/>
        <v>13920</v>
      </c>
      <c r="AC14">
        <v>8881</v>
      </c>
      <c r="AD14">
        <v>361</v>
      </c>
      <c r="AE14">
        <v>638</v>
      </c>
      <c r="AF14">
        <v>26282</v>
      </c>
      <c r="AG14">
        <v>19164</v>
      </c>
      <c r="AH14">
        <v>260</v>
      </c>
      <c r="AI14">
        <v>9880</v>
      </c>
      <c r="AJ14">
        <v>45706</v>
      </c>
      <c r="AK14">
        <f t="shared" si="3"/>
        <v>55586</v>
      </c>
      <c r="AL14">
        <v>4</v>
      </c>
      <c r="AN14">
        <v>16</v>
      </c>
      <c r="AO14">
        <v>4</v>
      </c>
      <c r="AP14">
        <v>633</v>
      </c>
      <c r="AR14">
        <v>20</v>
      </c>
      <c r="AS14">
        <v>637</v>
      </c>
      <c r="AT14">
        <f t="shared" si="4"/>
        <v>657</v>
      </c>
    </row>
    <row r="15" spans="1:46" x14ac:dyDescent="0.35">
      <c r="A15" t="s">
        <v>34</v>
      </c>
      <c r="J15">
        <f t="shared" si="0"/>
        <v>0</v>
      </c>
      <c r="S15">
        <f t="shared" si="1"/>
        <v>0</v>
      </c>
      <c r="T15">
        <v>22133</v>
      </c>
      <c r="U15">
        <v>1631</v>
      </c>
      <c r="V15">
        <v>553</v>
      </c>
      <c r="W15">
        <v>62428</v>
      </c>
      <c r="X15">
        <v>18814</v>
      </c>
      <c r="Y15">
        <v>35</v>
      </c>
      <c r="Z15">
        <v>24317</v>
      </c>
      <c r="AA15">
        <v>81277</v>
      </c>
      <c r="AB15">
        <f t="shared" si="2"/>
        <v>105594</v>
      </c>
      <c r="AC15">
        <v>110710</v>
      </c>
      <c r="AD15">
        <v>7831</v>
      </c>
      <c r="AE15">
        <v>2823</v>
      </c>
      <c r="AF15">
        <v>354284</v>
      </c>
      <c r="AG15">
        <v>91302</v>
      </c>
      <c r="AH15">
        <v>208</v>
      </c>
      <c r="AI15">
        <v>121364</v>
      </c>
      <c r="AJ15">
        <v>445794</v>
      </c>
      <c r="AK15">
        <f t="shared" si="3"/>
        <v>567158</v>
      </c>
      <c r="AL15">
        <v>34396</v>
      </c>
      <c r="AM15">
        <v>3656</v>
      </c>
      <c r="AN15">
        <v>1527</v>
      </c>
      <c r="AO15">
        <v>116847</v>
      </c>
      <c r="AP15">
        <v>35190</v>
      </c>
      <c r="AQ15">
        <v>60</v>
      </c>
      <c r="AR15">
        <v>39579</v>
      </c>
      <c r="AS15">
        <v>152097</v>
      </c>
      <c r="AT15">
        <f t="shared" si="4"/>
        <v>191676</v>
      </c>
    </row>
    <row r="16" spans="1:46" x14ac:dyDescent="0.35">
      <c r="A16" t="s">
        <v>35</v>
      </c>
      <c r="B16">
        <v>6881</v>
      </c>
      <c r="C16">
        <v>21350</v>
      </c>
      <c r="D16">
        <v>7419</v>
      </c>
      <c r="E16">
        <v>32977</v>
      </c>
      <c r="F16">
        <v>986</v>
      </c>
      <c r="G16">
        <v>89</v>
      </c>
      <c r="H16">
        <v>35650</v>
      </c>
      <c r="I16">
        <v>34052</v>
      </c>
      <c r="J16">
        <f t="shared" si="0"/>
        <v>69702</v>
      </c>
      <c r="K16">
        <v>5139</v>
      </c>
      <c r="L16">
        <v>62871</v>
      </c>
      <c r="M16">
        <v>1108</v>
      </c>
      <c r="N16">
        <v>20243</v>
      </c>
      <c r="O16">
        <v>3201</v>
      </c>
      <c r="P16">
        <v>348</v>
      </c>
      <c r="Q16">
        <v>69118</v>
      </c>
      <c r="R16">
        <v>23792</v>
      </c>
      <c r="S16">
        <f t="shared" si="1"/>
        <v>92910</v>
      </c>
      <c r="AB16">
        <f t="shared" si="2"/>
        <v>0</v>
      </c>
      <c r="AK16">
        <f t="shared" si="3"/>
        <v>0</v>
      </c>
      <c r="AT16">
        <f t="shared" si="4"/>
        <v>0</v>
      </c>
    </row>
    <row r="17" spans="1:46" x14ac:dyDescent="0.35">
      <c r="A17" t="s">
        <v>36</v>
      </c>
      <c r="B17">
        <v>31511</v>
      </c>
      <c r="C17">
        <v>142190</v>
      </c>
      <c r="D17">
        <v>8563</v>
      </c>
      <c r="E17">
        <v>83816</v>
      </c>
      <c r="F17">
        <v>3741</v>
      </c>
      <c r="G17">
        <v>266</v>
      </c>
      <c r="H17">
        <v>182264</v>
      </c>
      <c r="I17">
        <v>87823</v>
      </c>
      <c r="J17">
        <f t="shared" si="0"/>
        <v>270087</v>
      </c>
      <c r="K17">
        <v>133573</v>
      </c>
      <c r="L17">
        <v>41720</v>
      </c>
      <c r="M17">
        <v>8970</v>
      </c>
      <c r="N17">
        <v>319111</v>
      </c>
      <c r="O17">
        <v>53878</v>
      </c>
      <c r="P17">
        <v>1856</v>
      </c>
      <c r="Q17">
        <v>184263</v>
      </c>
      <c r="R17">
        <v>374845</v>
      </c>
      <c r="S17">
        <f t="shared" si="1"/>
        <v>559108</v>
      </c>
      <c r="T17">
        <v>77763</v>
      </c>
      <c r="U17">
        <v>8531</v>
      </c>
      <c r="V17">
        <v>2504</v>
      </c>
      <c r="W17">
        <v>188234</v>
      </c>
      <c r="X17">
        <v>58230</v>
      </c>
      <c r="Y17">
        <v>189</v>
      </c>
      <c r="Z17">
        <v>88798</v>
      </c>
      <c r="AA17">
        <v>246653</v>
      </c>
      <c r="AB17">
        <f t="shared" si="2"/>
        <v>335451</v>
      </c>
      <c r="AK17">
        <f t="shared" si="3"/>
        <v>0</v>
      </c>
      <c r="AT17">
        <f t="shared" si="4"/>
        <v>0</v>
      </c>
    </row>
    <row r="18" spans="1:46" x14ac:dyDescent="0.35">
      <c r="A18" t="s">
        <v>37</v>
      </c>
      <c r="J18">
        <f t="shared" si="0"/>
        <v>0</v>
      </c>
      <c r="K18">
        <v>92642</v>
      </c>
      <c r="L18">
        <v>297726</v>
      </c>
      <c r="M18">
        <v>12948</v>
      </c>
      <c r="N18">
        <v>266644</v>
      </c>
      <c r="O18">
        <v>17757</v>
      </c>
      <c r="P18">
        <v>270</v>
      </c>
      <c r="Q18">
        <v>403316</v>
      </c>
      <c r="R18">
        <v>284671</v>
      </c>
      <c r="S18">
        <f t="shared" si="1"/>
        <v>687987</v>
      </c>
      <c r="T18">
        <v>23488</v>
      </c>
      <c r="U18">
        <v>1404</v>
      </c>
      <c r="V18">
        <v>835</v>
      </c>
      <c r="W18">
        <v>68838</v>
      </c>
      <c r="X18">
        <v>8614</v>
      </c>
      <c r="Y18">
        <v>788</v>
      </c>
      <c r="Z18">
        <v>25727</v>
      </c>
      <c r="AA18">
        <v>78240</v>
      </c>
      <c r="AB18">
        <f t="shared" si="2"/>
        <v>103967</v>
      </c>
      <c r="AK18">
        <f t="shared" si="3"/>
        <v>0</v>
      </c>
      <c r="AT18">
        <f t="shared" si="4"/>
        <v>0</v>
      </c>
    </row>
    <row r="19" spans="1:46" x14ac:dyDescent="0.35">
      <c r="A19" t="s">
        <v>38</v>
      </c>
      <c r="J19">
        <f t="shared" si="0"/>
        <v>0</v>
      </c>
      <c r="S19">
        <f t="shared" si="1"/>
        <v>0</v>
      </c>
      <c r="T19">
        <v>118995</v>
      </c>
      <c r="U19">
        <v>40462</v>
      </c>
      <c r="V19">
        <v>3642</v>
      </c>
      <c r="W19">
        <v>415395</v>
      </c>
      <c r="X19">
        <v>30489</v>
      </c>
      <c r="Y19">
        <v>60</v>
      </c>
      <c r="Z19">
        <v>163099</v>
      </c>
      <c r="AA19">
        <v>445944</v>
      </c>
      <c r="AB19">
        <f t="shared" si="2"/>
        <v>609043</v>
      </c>
      <c r="AC19">
        <v>131318</v>
      </c>
      <c r="AD19">
        <v>23943</v>
      </c>
      <c r="AE19">
        <v>3937</v>
      </c>
      <c r="AF19">
        <v>456080</v>
      </c>
      <c r="AG19">
        <v>127256</v>
      </c>
      <c r="AH19">
        <v>194</v>
      </c>
      <c r="AI19">
        <v>159198</v>
      </c>
      <c r="AJ19">
        <v>583530</v>
      </c>
      <c r="AK19">
        <f t="shared" si="3"/>
        <v>742728</v>
      </c>
      <c r="AL19">
        <v>40345</v>
      </c>
      <c r="AM19">
        <v>6241</v>
      </c>
      <c r="AN19">
        <v>1507</v>
      </c>
      <c r="AO19">
        <v>141463</v>
      </c>
      <c r="AP19">
        <v>37797</v>
      </c>
      <c r="AQ19">
        <v>39</v>
      </c>
      <c r="AR19">
        <v>48093</v>
      </c>
      <c r="AS19">
        <v>179299</v>
      </c>
      <c r="AT19">
        <f t="shared" si="4"/>
        <v>227392</v>
      </c>
    </row>
    <row r="20" spans="1:46" x14ac:dyDescent="0.35">
      <c r="A20" t="s">
        <v>39</v>
      </c>
      <c r="J20">
        <f t="shared" si="0"/>
        <v>0</v>
      </c>
      <c r="S20">
        <f t="shared" si="1"/>
        <v>0</v>
      </c>
      <c r="T20">
        <v>173558</v>
      </c>
      <c r="U20">
        <v>31114</v>
      </c>
      <c r="V20">
        <v>7428</v>
      </c>
      <c r="W20">
        <v>489514</v>
      </c>
      <c r="X20">
        <v>550436</v>
      </c>
      <c r="Y20">
        <v>475</v>
      </c>
      <c r="Z20">
        <v>212100</v>
      </c>
      <c r="AA20">
        <v>549795</v>
      </c>
      <c r="AB20">
        <f t="shared" si="2"/>
        <v>761895</v>
      </c>
      <c r="AC20">
        <v>140636</v>
      </c>
      <c r="AD20">
        <v>16321</v>
      </c>
      <c r="AE20">
        <v>9087</v>
      </c>
      <c r="AF20">
        <v>454419</v>
      </c>
      <c r="AG20">
        <v>585459</v>
      </c>
      <c r="AH20">
        <v>59</v>
      </c>
      <c r="AI20">
        <v>166044</v>
      </c>
      <c r="AJ20">
        <v>639049</v>
      </c>
      <c r="AK20">
        <f t="shared" si="3"/>
        <v>805093</v>
      </c>
      <c r="AL20">
        <v>96734</v>
      </c>
      <c r="AM20">
        <v>5371</v>
      </c>
      <c r="AN20">
        <v>4142</v>
      </c>
      <c r="AO20">
        <v>321224</v>
      </c>
      <c r="AP20">
        <v>368465</v>
      </c>
      <c r="AQ20">
        <v>25</v>
      </c>
      <c r="AR20">
        <v>106247</v>
      </c>
      <c r="AS20">
        <v>413546</v>
      </c>
      <c r="AT20">
        <f t="shared" si="4"/>
        <v>519793</v>
      </c>
    </row>
    <row r="21" spans="1:46" x14ac:dyDescent="0.35">
      <c r="A21" t="s">
        <v>40</v>
      </c>
      <c r="J21">
        <f t="shared" si="0"/>
        <v>0</v>
      </c>
      <c r="K21">
        <v>32265</v>
      </c>
      <c r="L21">
        <v>6543</v>
      </c>
      <c r="M21">
        <v>3790</v>
      </c>
      <c r="N21">
        <v>97707</v>
      </c>
      <c r="O21">
        <v>5651</v>
      </c>
      <c r="P21">
        <v>2285</v>
      </c>
      <c r="Q21">
        <v>42598</v>
      </c>
      <c r="R21">
        <v>105643</v>
      </c>
      <c r="S21">
        <f t="shared" si="1"/>
        <v>148241</v>
      </c>
      <c r="T21">
        <v>136178</v>
      </c>
      <c r="U21">
        <v>48391</v>
      </c>
      <c r="V21">
        <v>4401</v>
      </c>
      <c r="W21">
        <v>431710</v>
      </c>
      <c r="X21">
        <v>58642</v>
      </c>
      <c r="Y21">
        <v>2227</v>
      </c>
      <c r="Z21">
        <v>188970</v>
      </c>
      <c r="AA21">
        <v>492579</v>
      </c>
      <c r="AB21">
        <f t="shared" si="2"/>
        <v>681549</v>
      </c>
      <c r="AC21">
        <v>94365</v>
      </c>
      <c r="AD21">
        <v>12223</v>
      </c>
      <c r="AE21">
        <v>5487</v>
      </c>
      <c r="AF21">
        <v>327742</v>
      </c>
      <c r="AG21">
        <v>97588</v>
      </c>
      <c r="AH21">
        <v>136</v>
      </c>
      <c r="AI21">
        <v>112075</v>
      </c>
      <c r="AJ21">
        <v>425466</v>
      </c>
      <c r="AK21">
        <f t="shared" si="3"/>
        <v>537541</v>
      </c>
      <c r="AL21">
        <v>48173</v>
      </c>
      <c r="AM21">
        <v>16402</v>
      </c>
      <c r="AN21">
        <v>2158</v>
      </c>
      <c r="AO21">
        <v>158999</v>
      </c>
      <c r="AP21">
        <v>24490</v>
      </c>
      <c r="AQ21">
        <v>448</v>
      </c>
      <c r="AR21">
        <v>66733</v>
      </c>
      <c r="AS21">
        <v>183937</v>
      </c>
      <c r="AT21">
        <f t="shared" si="4"/>
        <v>250670</v>
      </c>
    </row>
    <row r="22" spans="1:46" x14ac:dyDescent="0.35">
      <c r="A22" t="s">
        <v>41</v>
      </c>
      <c r="J22">
        <f t="shared" si="0"/>
        <v>0</v>
      </c>
      <c r="S22">
        <f t="shared" si="1"/>
        <v>0</v>
      </c>
      <c r="T22">
        <v>150026</v>
      </c>
      <c r="U22">
        <v>48583</v>
      </c>
      <c r="V22">
        <v>13553</v>
      </c>
      <c r="W22">
        <v>488227</v>
      </c>
      <c r="X22">
        <v>62646</v>
      </c>
      <c r="Y22">
        <v>2784</v>
      </c>
      <c r="Z22">
        <v>212162</v>
      </c>
      <c r="AA22">
        <v>553657</v>
      </c>
      <c r="AB22">
        <f t="shared" si="2"/>
        <v>765819</v>
      </c>
      <c r="AC22">
        <v>58209</v>
      </c>
      <c r="AD22">
        <v>5542</v>
      </c>
      <c r="AE22">
        <v>2626</v>
      </c>
      <c r="AF22">
        <v>206611</v>
      </c>
      <c r="AG22">
        <v>47804</v>
      </c>
      <c r="AH22">
        <v>550</v>
      </c>
      <c r="AI22">
        <v>66377</v>
      </c>
      <c r="AJ22">
        <v>254965</v>
      </c>
      <c r="AK22">
        <f t="shared" si="3"/>
        <v>321342</v>
      </c>
      <c r="AL22">
        <v>34666</v>
      </c>
      <c r="AM22">
        <v>2704</v>
      </c>
      <c r="AN22">
        <v>1209</v>
      </c>
      <c r="AO22">
        <v>125999</v>
      </c>
      <c r="AP22">
        <v>17404</v>
      </c>
      <c r="AQ22">
        <v>320</v>
      </c>
      <c r="AR22">
        <v>38579</v>
      </c>
      <c r="AS22">
        <v>143723</v>
      </c>
      <c r="AT22">
        <f t="shared" si="4"/>
        <v>182302</v>
      </c>
    </row>
    <row r="23" spans="1:46" x14ac:dyDescent="0.35">
      <c r="A23" t="s">
        <v>42</v>
      </c>
      <c r="B23">
        <v>32362</v>
      </c>
      <c r="C23">
        <v>188306</v>
      </c>
      <c r="D23">
        <v>17909</v>
      </c>
      <c r="E23">
        <v>66809</v>
      </c>
      <c r="F23">
        <v>4927</v>
      </c>
      <c r="G23">
        <v>2004</v>
      </c>
      <c r="H23">
        <v>238577</v>
      </c>
      <c r="I23">
        <v>73740</v>
      </c>
      <c r="J23">
        <f t="shared" si="0"/>
        <v>312317</v>
      </c>
      <c r="K23">
        <v>82096</v>
      </c>
      <c r="L23">
        <v>117124</v>
      </c>
      <c r="M23">
        <v>10862</v>
      </c>
      <c r="N23">
        <v>216161</v>
      </c>
      <c r="O23">
        <v>35938</v>
      </c>
      <c r="P23">
        <v>18191</v>
      </c>
      <c r="Q23">
        <v>210082</v>
      </c>
      <c r="R23">
        <v>270290</v>
      </c>
      <c r="S23">
        <f t="shared" si="1"/>
        <v>480372</v>
      </c>
      <c r="AB23">
        <f t="shared" si="2"/>
        <v>0</v>
      </c>
      <c r="AK23">
        <f t="shared" si="3"/>
        <v>0</v>
      </c>
      <c r="AT23">
        <f t="shared" si="4"/>
        <v>0</v>
      </c>
    </row>
    <row r="24" spans="1:46" x14ac:dyDescent="0.35">
      <c r="A24" t="s">
        <v>43</v>
      </c>
      <c r="J24">
        <f t="shared" si="0"/>
        <v>0</v>
      </c>
      <c r="S24">
        <f t="shared" si="1"/>
        <v>0</v>
      </c>
      <c r="AB24">
        <f t="shared" si="2"/>
        <v>0</v>
      </c>
      <c r="AK24">
        <f t="shared" si="3"/>
        <v>0</v>
      </c>
      <c r="AL24">
        <v>5154</v>
      </c>
      <c r="AM24">
        <v>381</v>
      </c>
      <c r="AN24">
        <v>789</v>
      </c>
      <c r="AO24">
        <v>12958</v>
      </c>
      <c r="AP24">
        <v>1787</v>
      </c>
      <c r="AR24">
        <v>6324</v>
      </c>
      <c r="AS24">
        <v>14745</v>
      </c>
      <c r="AT24">
        <f t="shared" si="4"/>
        <v>21069</v>
      </c>
    </row>
    <row r="25" spans="1:46" x14ac:dyDescent="0.35">
      <c r="A25" t="s">
        <v>44</v>
      </c>
      <c r="J25">
        <f t="shared" si="0"/>
        <v>0</v>
      </c>
      <c r="S25">
        <f t="shared" si="1"/>
        <v>0</v>
      </c>
      <c r="AB25">
        <f t="shared" si="2"/>
        <v>0</v>
      </c>
      <c r="AK25">
        <f t="shared" si="3"/>
        <v>0</v>
      </c>
      <c r="AL25">
        <v>161</v>
      </c>
      <c r="AM25">
        <v>8</v>
      </c>
      <c r="AN25">
        <v>243</v>
      </c>
      <c r="AO25">
        <v>366</v>
      </c>
      <c r="AP25">
        <v>7884</v>
      </c>
      <c r="AQ25">
        <v>10</v>
      </c>
      <c r="AR25">
        <v>412</v>
      </c>
      <c r="AS25">
        <v>8260</v>
      </c>
      <c r="AT25">
        <f t="shared" si="4"/>
        <v>8672</v>
      </c>
    </row>
    <row r="26" spans="1:46" x14ac:dyDescent="0.35">
      <c r="A26" t="s">
        <v>45</v>
      </c>
      <c r="J26">
        <f t="shared" si="0"/>
        <v>0</v>
      </c>
      <c r="S26">
        <f t="shared" si="1"/>
        <v>0</v>
      </c>
      <c r="AB26">
        <f t="shared" si="2"/>
        <v>0</v>
      </c>
      <c r="AC26">
        <v>4987</v>
      </c>
      <c r="AD26">
        <v>451</v>
      </c>
      <c r="AE26">
        <v>84</v>
      </c>
      <c r="AF26">
        <v>14422</v>
      </c>
      <c r="AG26">
        <v>2319</v>
      </c>
      <c r="AI26">
        <v>5522</v>
      </c>
      <c r="AJ26">
        <v>16741</v>
      </c>
      <c r="AK26">
        <f t="shared" si="3"/>
        <v>22263</v>
      </c>
      <c r="AT26">
        <f t="shared" si="4"/>
        <v>0</v>
      </c>
    </row>
    <row r="27" spans="1:46" x14ac:dyDescent="0.35">
      <c r="A27" t="s">
        <v>46</v>
      </c>
      <c r="J27">
        <f t="shared" si="0"/>
        <v>0</v>
      </c>
      <c r="S27">
        <f t="shared" si="1"/>
        <v>0</v>
      </c>
      <c r="AB27">
        <f t="shared" si="2"/>
        <v>0</v>
      </c>
      <c r="AK27">
        <f t="shared" si="3"/>
        <v>0</v>
      </c>
      <c r="AL27">
        <v>2008</v>
      </c>
      <c r="AM27">
        <v>412</v>
      </c>
      <c r="AN27">
        <v>29</v>
      </c>
      <c r="AO27">
        <v>3112</v>
      </c>
      <c r="AP27">
        <v>22</v>
      </c>
      <c r="AR27">
        <v>2449</v>
      </c>
      <c r="AS27">
        <v>3134</v>
      </c>
      <c r="AT27">
        <f t="shared" si="4"/>
        <v>5583</v>
      </c>
    </row>
    <row r="28" spans="1:46" x14ac:dyDescent="0.35">
      <c r="A28" t="s">
        <v>47</v>
      </c>
      <c r="J28">
        <f t="shared" si="0"/>
        <v>0</v>
      </c>
      <c r="S28">
        <f t="shared" si="1"/>
        <v>0</v>
      </c>
      <c r="AB28">
        <f t="shared" si="2"/>
        <v>0</v>
      </c>
      <c r="AC28">
        <v>39710</v>
      </c>
      <c r="AD28">
        <v>2533</v>
      </c>
      <c r="AE28">
        <v>912</v>
      </c>
      <c r="AF28">
        <v>130427</v>
      </c>
      <c r="AG28">
        <v>23449</v>
      </c>
      <c r="AI28">
        <v>43155</v>
      </c>
      <c r="AJ28">
        <v>153876</v>
      </c>
      <c r="AK28">
        <f t="shared" si="3"/>
        <v>197031</v>
      </c>
      <c r="AT28">
        <f t="shared" si="4"/>
        <v>0</v>
      </c>
    </row>
    <row r="29" spans="1:46" x14ac:dyDescent="0.35">
      <c r="A29" t="s">
        <v>48</v>
      </c>
      <c r="J29">
        <f t="shared" si="0"/>
        <v>0</v>
      </c>
      <c r="S29">
        <f t="shared" si="1"/>
        <v>0</v>
      </c>
      <c r="AB29">
        <f t="shared" si="2"/>
        <v>0</v>
      </c>
      <c r="AK29">
        <f t="shared" si="3"/>
        <v>0</v>
      </c>
      <c r="AN29">
        <v>426</v>
      </c>
      <c r="AO29">
        <v>2</v>
      </c>
      <c r="AP29">
        <v>4297</v>
      </c>
      <c r="AR29">
        <v>426</v>
      </c>
      <c r="AS29">
        <v>4299</v>
      </c>
      <c r="AT29">
        <f t="shared" si="4"/>
        <v>4725</v>
      </c>
    </row>
    <row r="30" spans="1:46" x14ac:dyDescent="0.35">
      <c r="A30" t="s">
        <v>49</v>
      </c>
      <c r="B30">
        <v>10946</v>
      </c>
      <c r="C30">
        <v>5390</v>
      </c>
      <c r="D30">
        <v>1407</v>
      </c>
      <c r="E30">
        <v>24468</v>
      </c>
      <c r="F30">
        <v>1117</v>
      </c>
      <c r="G30">
        <v>803</v>
      </c>
      <c r="H30">
        <v>17743</v>
      </c>
      <c r="I30">
        <v>26388</v>
      </c>
      <c r="J30">
        <f t="shared" si="0"/>
        <v>44131</v>
      </c>
      <c r="S30">
        <f t="shared" si="1"/>
        <v>0</v>
      </c>
      <c r="AB30">
        <f t="shared" si="2"/>
        <v>0</v>
      </c>
      <c r="AK30">
        <f t="shared" si="3"/>
        <v>0</v>
      </c>
      <c r="AT30">
        <f t="shared" si="4"/>
        <v>0</v>
      </c>
    </row>
    <row r="31" spans="1:46" x14ac:dyDescent="0.35">
      <c r="A31" t="s">
        <v>50</v>
      </c>
      <c r="B31">
        <v>9480</v>
      </c>
      <c r="C31">
        <v>32173</v>
      </c>
      <c r="D31">
        <v>10550</v>
      </c>
      <c r="E31">
        <v>14388</v>
      </c>
      <c r="F31">
        <v>1463</v>
      </c>
      <c r="G31">
        <v>1</v>
      </c>
      <c r="H31">
        <v>52203</v>
      </c>
      <c r="I31">
        <v>15852</v>
      </c>
      <c r="J31">
        <f t="shared" si="0"/>
        <v>68055</v>
      </c>
      <c r="S31">
        <f t="shared" si="1"/>
        <v>0</v>
      </c>
      <c r="AB31">
        <f t="shared" si="2"/>
        <v>0</v>
      </c>
      <c r="AK31">
        <f t="shared" si="3"/>
        <v>0</v>
      </c>
      <c r="AT31">
        <f t="shared" si="4"/>
        <v>0</v>
      </c>
    </row>
    <row r="32" spans="1:46" x14ac:dyDescent="0.35">
      <c r="A32" t="s">
        <v>51</v>
      </c>
      <c r="B32">
        <v>3557</v>
      </c>
      <c r="C32">
        <v>9638</v>
      </c>
      <c r="D32">
        <v>564</v>
      </c>
      <c r="E32">
        <v>7435</v>
      </c>
      <c r="F32">
        <v>489</v>
      </c>
      <c r="G32">
        <v>111</v>
      </c>
      <c r="H32">
        <v>13759</v>
      </c>
      <c r="I32">
        <v>8035</v>
      </c>
      <c r="J32">
        <f t="shared" si="0"/>
        <v>21794</v>
      </c>
      <c r="S32">
        <f t="shared" si="1"/>
        <v>0</v>
      </c>
      <c r="AB32">
        <f t="shared" si="2"/>
        <v>0</v>
      </c>
      <c r="AK32">
        <f t="shared" si="3"/>
        <v>0</v>
      </c>
      <c r="AT32">
        <f t="shared" si="4"/>
        <v>0</v>
      </c>
    </row>
    <row r="33" spans="1:46" x14ac:dyDescent="0.35">
      <c r="A33" t="s">
        <v>52</v>
      </c>
      <c r="J33">
        <f t="shared" si="0"/>
        <v>0</v>
      </c>
      <c r="K33">
        <v>66331</v>
      </c>
      <c r="L33">
        <v>104490</v>
      </c>
      <c r="M33">
        <v>10477</v>
      </c>
      <c r="N33">
        <v>150743</v>
      </c>
      <c r="O33">
        <v>10074</v>
      </c>
      <c r="P33">
        <v>480</v>
      </c>
      <c r="Q33">
        <v>181298</v>
      </c>
      <c r="R33">
        <v>161297</v>
      </c>
      <c r="S33">
        <f t="shared" si="1"/>
        <v>342595</v>
      </c>
      <c r="AB33">
        <f t="shared" si="2"/>
        <v>0</v>
      </c>
      <c r="AK33">
        <f t="shared" si="3"/>
        <v>0</v>
      </c>
      <c r="AT33">
        <f t="shared" si="4"/>
        <v>0</v>
      </c>
    </row>
    <row r="34" spans="1:46" x14ac:dyDescent="0.35">
      <c r="A34" t="s">
        <v>53</v>
      </c>
      <c r="J34">
        <f t="shared" si="0"/>
        <v>0</v>
      </c>
      <c r="S34">
        <f t="shared" si="1"/>
        <v>0</v>
      </c>
      <c r="AB34">
        <f t="shared" si="2"/>
        <v>0</v>
      </c>
      <c r="AK34">
        <f t="shared" si="3"/>
        <v>0</v>
      </c>
      <c r="AL34">
        <v>1683</v>
      </c>
      <c r="AM34">
        <v>23</v>
      </c>
      <c r="AN34">
        <v>522</v>
      </c>
      <c r="AO34">
        <v>3159</v>
      </c>
      <c r="AP34">
        <v>2996</v>
      </c>
      <c r="AR34">
        <v>2228</v>
      </c>
      <c r="AS34">
        <v>6155</v>
      </c>
      <c r="AT34">
        <f t="shared" si="4"/>
        <v>8383</v>
      </c>
    </row>
    <row r="35" spans="1:46" x14ac:dyDescent="0.35">
      <c r="A35" t="s">
        <v>54</v>
      </c>
      <c r="J35">
        <f t="shared" si="0"/>
        <v>0</v>
      </c>
      <c r="K35">
        <v>7904</v>
      </c>
      <c r="L35">
        <v>20392</v>
      </c>
      <c r="M35">
        <v>2251</v>
      </c>
      <c r="N35">
        <v>9549</v>
      </c>
      <c r="O35">
        <v>1757</v>
      </c>
      <c r="P35">
        <v>2929</v>
      </c>
      <c r="Q35">
        <v>30547</v>
      </c>
      <c r="R35">
        <v>14235</v>
      </c>
      <c r="S35">
        <f t="shared" si="1"/>
        <v>44782</v>
      </c>
      <c r="AB35">
        <f t="shared" si="2"/>
        <v>0</v>
      </c>
      <c r="AK35">
        <f t="shared" si="3"/>
        <v>0</v>
      </c>
      <c r="AT35">
        <f t="shared" si="4"/>
        <v>0</v>
      </c>
    </row>
    <row r="36" spans="1:46" x14ac:dyDescent="0.35">
      <c r="A36" t="s">
        <v>55</v>
      </c>
      <c r="J36">
        <f t="shared" si="0"/>
        <v>0</v>
      </c>
      <c r="K36">
        <v>31051</v>
      </c>
      <c r="L36">
        <v>161890</v>
      </c>
      <c r="M36">
        <v>1866</v>
      </c>
      <c r="N36">
        <v>75747</v>
      </c>
      <c r="O36">
        <v>6971</v>
      </c>
      <c r="P36">
        <v>518</v>
      </c>
      <c r="Q36">
        <v>194807</v>
      </c>
      <c r="R36">
        <v>83236</v>
      </c>
      <c r="S36">
        <f t="shared" si="1"/>
        <v>278043</v>
      </c>
      <c r="AB36">
        <f t="shared" si="2"/>
        <v>0</v>
      </c>
      <c r="AK36">
        <f t="shared" si="3"/>
        <v>0</v>
      </c>
      <c r="AT36">
        <f t="shared" si="4"/>
        <v>0</v>
      </c>
    </row>
    <row r="37" spans="1:46" x14ac:dyDescent="0.35">
      <c r="A37" t="s">
        <v>56</v>
      </c>
      <c r="J37">
        <f t="shared" si="0"/>
        <v>0</v>
      </c>
      <c r="K37">
        <v>14143</v>
      </c>
      <c r="L37">
        <v>68875</v>
      </c>
      <c r="M37">
        <v>6319</v>
      </c>
      <c r="N37">
        <v>30451</v>
      </c>
      <c r="O37">
        <v>5301</v>
      </c>
      <c r="Q37">
        <v>89337</v>
      </c>
      <c r="R37">
        <v>35752</v>
      </c>
      <c r="S37">
        <f t="shared" si="1"/>
        <v>125089</v>
      </c>
      <c r="AB37">
        <f t="shared" si="2"/>
        <v>0</v>
      </c>
      <c r="AK37">
        <f t="shared" si="3"/>
        <v>0</v>
      </c>
      <c r="AT37">
        <f t="shared" si="4"/>
        <v>0</v>
      </c>
    </row>
    <row r="38" spans="1:46" x14ac:dyDescent="0.35">
      <c r="A38" t="s">
        <v>57</v>
      </c>
      <c r="J38">
        <f t="shared" si="0"/>
        <v>0</v>
      </c>
      <c r="S38">
        <f t="shared" si="1"/>
        <v>0</v>
      </c>
      <c r="T38">
        <v>99492</v>
      </c>
      <c r="U38">
        <v>23876</v>
      </c>
      <c r="V38">
        <v>5936</v>
      </c>
      <c r="W38">
        <v>286504</v>
      </c>
      <c r="X38">
        <v>89756</v>
      </c>
      <c r="Y38">
        <v>3725</v>
      </c>
      <c r="Z38">
        <v>129304</v>
      </c>
      <c r="AA38">
        <v>379985</v>
      </c>
      <c r="AB38">
        <f t="shared" si="2"/>
        <v>509289</v>
      </c>
      <c r="AK38">
        <f t="shared" si="3"/>
        <v>0</v>
      </c>
      <c r="AT38">
        <f t="shared" si="4"/>
        <v>0</v>
      </c>
    </row>
    <row r="39" spans="1:46" x14ac:dyDescent="0.35">
      <c r="A39" t="s">
        <v>58</v>
      </c>
      <c r="B39">
        <v>9199</v>
      </c>
      <c r="C39">
        <v>45824</v>
      </c>
      <c r="D39">
        <v>55985</v>
      </c>
      <c r="E39">
        <v>31650</v>
      </c>
      <c r="F39">
        <v>347</v>
      </c>
      <c r="H39">
        <v>111008</v>
      </c>
      <c r="I39">
        <v>31997</v>
      </c>
      <c r="J39">
        <f t="shared" si="0"/>
        <v>143005</v>
      </c>
      <c r="S39">
        <f t="shared" si="1"/>
        <v>0</v>
      </c>
      <c r="AB39">
        <f t="shared" si="2"/>
        <v>0</v>
      </c>
      <c r="AK39">
        <f t="shared" si="3"/>
        <v>0</v>
      </c>
      <c r="AT39">
        <f t="shared" si="4"/>
        <v>0</v>
      </c>
    </row>
    <row r="40" spans="1:46" x14ac:dyDescent="0.35">
      <c r="A40" t="s">
        <v>59</v>
      </c>
      <c r="J40">
        <f t="shared" si="0"/>
        <v>0</v>
      </c>
      <c r="S40">
        <f t="shared" si="1"/>
        <v>0</v>
      </c>
      <c r="T40">
        <v>73997</v>
      </c>
      <c r="U40">
        <v>8192</v>
      </c>
      <c r="V40">
        <v>1308</v>
      </c>
      <c r="W40">
        <v>214737</v>
      </c>
      <c r="X40">
        <v>20332</v>
      </c>
      <c r="Z40">
        <v>83197</v>
      </c>
      <c r="AA40">
        <v>235069</v>
      </c>
      <c r="AB40">
        <f t="shared" si="2"/>
        <v>318266</v>
      </c>
      <c r="AK40">
        <f t="shared" si="3"/>
        <v>0</v>
      </c>
      <c r="AT40">
        <f t="shared" si="4"/>
        <v>0</v>
      </c>
    </row>
    <row r="41" spans="1:46" x14ac:dyDescent="0.35">
      <c r="A41" t="s">
        <v>60</v>
      </c>
      <c r="B41">
        <v>38455</v>
      </c>
      <c r="C41">
        <v>138630</v>
      </c>
      <c r="D41">
        <v>6956</v>
      </c>
      <c r="E41">
        <v>138451</v>
      </c>
      <c r="F41">
        <v>1269</v>
      </c>
      <c r="H41">
        <v>184041</v>
      </c>
      <c r="I41">
        <v>139720</v>
      </c>
      <c r="J41">
        <f t="shared" si="0"/>
        <v>323761</v>
      </c>
      <c r="S41">
        <f t="shared" si="1"/>
        <v>0</v>
      </c>
      <c r="AB41">
        <f t="shared" si="2"/>
        <v>0</v>
      </c>
      <c r="AK41">
        <f t="shared" si="3"/>
        <v>0</v>
      </c>
      <c r="AT41">
        <f t="shared" si="4"/>
        <v>0</v>
      </c>
    </row>
    <row r="42" spans="1:46" x14ac:dyDescent="0.35">
      <c r="A42" t="s">
        <v>61</v>
      </c>
      <c r="B42">
        <v>22334</v>
      </c>
      <c r="C42">
        <v>61537</v>
      </c>
      <c r="D42">
        <v>1588</v>
      </c>
      <c r="E42">
        <v>60271</v>
      </c>
      <c r="F42">
        <v>2634</v>
      </c>
      <c r="G42" t="s">
        <v>82</v>
      </c>
      <c r="H42">
        <v>85459</v>
      </c>
      <c r="I42">
        <v>62905</v>
      </c>
      <c r="J42">
        <f t="shared" si="0"/>
        <v>148364</v>
      </c>
      <c r="S42">
        <f t="shared" si="1"/>
        <v>0</v>
      </c>
      <c r="AB42">
        <f t="shared" si="2"/>
        <v>0</v>
      </c>
      <c r="AK42">
        <f t="shared" si="3"/>
        <v>0</v>
      </c>
      <c r="AT42">
        <f t="shared" si="4"/>
        <v>0</v>
      </c>
    </row>
    <row r="43" spans="1:46" x14ac:dyDescent="0.35">
      <c r="A43" t="s">
        <v>62</v>
      </c>
      <c r="B43">
        <f>SUM(B2:B42)</f>
        <v>391359</v>
      </c>
      <c r="C43">
        <f>SUM(C2:C42)</f>
        <v>1700099</v>
      </c>
      <c r="D43">
        <f>SUM(D2:D42)</f>
        <v>182060</v>
      </c>
      <c r="E43">
        <f t="shared" ref="E43:G43" si="5">SUM(E2:E42)</f>
        <v>1112892</v>
      </c>
      <c r="F43">
        <f t="shared" si="5"/>
        <v>53294</v>
      </c>
      <c r="G43">
        <f>SUM(G2:G42)</f>
        <v>12341</v>
      </c>
      <c r="H43">
        <f t="shared" ref="H43:AR43" si="6">SUM(H2:H42)</f>
        <v>2273518</v>
      </c>
      <c r="I43">
        <f t="shared" si="6"/>
        <v>1178854</v>
      </c>
      <c r="J43">
        <f t="shared" si="6"/>
        <v>3452372</v>
      </c>
      <c r="K43">
        <f t="shared" si="6"/>
        <v>1304277</v>
      </c>
      <c r="L43">
        <f t="shared" si="6"/>
        <v>1251891</v>
      </c>
      <c r="M43">
        <f t="shared" si="6"/>
        <v>139337</v>
      </c>
      <c r="N43">
        <f t="shared" si="6"/>
        <v>3318974</v>
      </c>
      <c r="O43">
        <f t="shared" si="6"/>
        <v>552243</v>
      </c>
      <c r="P43">
        <f t="shared" si="6"/>
        <v>46088</v>
      </c>
      <c r="Q43">
        <f t="shared" si="6"/>
        <v>2695504</v>
      </c>
      <c r="R43">
        <f t="shared" si="6"/>
        <v>3917067</v>
      </c>
      <c r="S43">
        <f t="shared" si="6"/>
        <v>6612571</v>
      </c>
      <c r="T43">
        <f t="shared" si="6"/>
        <v>1559962</v>
      </c>
      <c r="U43">
        <f t="shared" si="6"/>
        <v>346548</v>
      </c>
      <c r="V43">
        <f t="shared" si="6"/>
        <v>70194</v>
      </c>
      <c r="W43">
        <f t="shared" si="6"/>
        <v>4601745</v>
      </c>
      <c r="X43">
        <f t="shared" si="6"/>
        <v>1377937</v>
      </c>
      <c r="Y43">
        <f t="shared" si="6"/>
        <v>14792</v>
      </c>
      <c r="Z43">
        <f t="shared" si="6"/>
        <v>1976405</v>
      </c>
      <c r="AA43">
        <f t="shared" si="6"/>
        <v>5503782</v>
      </c>
      <c r="AB43">
        <f t="shared" si="6"/>
        <v>7480187</v>
      </c>
      <c r="AC43">
        <f t="shared" si="6"/>
        <v>1204170</v>
      </c>
      <c r="AD43">
        <f t="shared" si="6"/>
        <v>155707</v>
      </c>
      <c r="AE43">
        <f t="shared" si="6"/>
        <v>51174</v>
      </c>
      <c r="AF43">
        <f t="shared" si="6"/>
        <v>3966814</v>
      </c>
      <c r="AG43">
        <f t="shared" si="6"/>
        <v>1567996</v>
      </c>
      <c r="AH43">
        <f t="shared" si="6"/>
        <v>3248</v>
      </c>
      <c r="AI43">
        <f t="shared" si="6"/>
        <v>1411051</v>
      </c>
      <c r="AJ43">
        <f t="shared" si="6"/>
        <v>5137143</v>
      </c>
      <c r="AK43">
        <f t="shared" si="6"/>
        <v>6548194</v>
      </c>
      <c r="AL43">
        <f t="shared" si="6"/>
        <v>559417</v>
      </c>
      <c r="AM43">
        <f t="shared" si="6"/>
        <v>59383</v>
      </c>
      <c r="AN43">
        <f t="shared" si="6"/>
        <v>24211</v>
      </c>
      <c r="AO43">
        <f t="shared" si="6"/>
        <v>1874973</v>
      </c>
      <c r="AP43">
        <f t="shared" si="6"/>
        <v>665076</v>
      </c>
      <c r="AQ43">
        <f t="shared" si="6"/>
        <v>1072</v>
      </c>
      <c r="AR43">
        <f t="shared" si="6"/>
        <v>643011</v>
      </c>
      <c r="AS43">
        <f t="shared" ref="AS43" si="7">SUM(AS2:AS42)</f>
        <v>2264953</v>
      </c>
      <c r="AT43">
        <f t="shared" ref="AT43" si="8">SUM(AT2:AT42)</f>
        <v>2907964</v>
      </c>
    </row>
    <row r="44" spans="1:46" x14ac:dyDescent="0.35">
      <c r="J44">
        <f>SUM(B43:G43)</f>
        <v>3452045</v>
      </c>
      <c r="S44">
        <f>SUM(K43:P43)</f>
        <v>6612810</v>
      </c>
    </row>
    <row r="47" spans="1:46" x14ac:dyDescent="0.35">
      <c r="A47">
        <f>J43+S43+AB43+AK43+AT44</f>
        <v>24093324</v>
      </c>
      <c r="B47" t="s">
        <v>142</v>
      </c>
    </row>
    <row r="49" spans="1:19" x14ac:dyDescent="0.35">
      <c r="B49" t="s">
        <v>92</v>
      </c>
      <c r="C49" t="s">
        <v>94</v>
      </c>
      <c r="D49" t="s">
        <v>93</v>
      </c>
      <c r="E49" t="s">
        <v>88</v>
      </c>
      <c r="F49" t="s">
        <v>95</v>
      </c>
      <c r="G49" t="s">
        <v>96</v>
      </c>
      <c r="H49" t="s">
        <v>97</v>
      </c>
      <c r="I49" t="s">
        <v>98</v>
      </c>
      <c r="J49" t="s">
        <v>87</v>
      </c>
      <c r="K49" t="s">
        <v>99</v>
      </c>
      <c r="L49" t="s">
        <v>100</v>
      </c>
      <c r="M49" t="s">
        <v>89</v>
      </c>
      <c r="N49" t="s">
        <v>90</v>
      </c>
      <c r="O49" t="s">
        <v>101</v>
      </c>
      <c r="P49" t="s">
        <v>102</v>
      </c>
      <c r="Q49" t="s">
        <v>91</v>
      </c>
      <c r="R49" t="s">
        <v>103</v>
      </c>
      <c r="S49" t="s">
        <v>104</v>
      </c>
    </row>
    <row r="50" spans="1:19" x14ac:dyDescent="0.35">
      <c r="A50">
        <v>1941</v>
      </c>
      <c r="B50">
        <v>391359</v>
      </c>
      <c r="C50">
        <f>(B51/J43)*100</f>
        <v>37.779155896293908</v>
      </c>
      <c r="E50">
        <v>1700099</v>
      </c>
      <c r="F50">
        <f>(E50/J43)*100</f>
        <v>49.244374592309285</v>
      </c>
      <c r="H50">
        <v>182060</v>
      </c>
      <c r="I50">
        <f>(H50/J43)*100</f>
        <v>5.2734757436336519</v>
      </c>
      <c r="K50">
        <v>1112892</v>
      </c>
      <c r="L50">
        <f>(K50/J43)*100</f>
        <v>32.235576003976398</v>
      </c>
      <c r="N50">
        <v>53294</v>
      </c>
      <c r="O50">
        <f>(N50/J43)*100</f>
        <v>1.5436922788158403</v>
      </c>
      <c r="Q50">
        <v>12341</v>
      </c>
      <c r="R50">
        <f>(O50/J43)*100</f>
        <v>4.4713961265351481E-5</v>
      </c>
    </row>
    <row r="51" spans="1:19" x14ac:dyDescent="0.35">
      <c r="A51">
        <v>1942</v>
      </c>
      <c r="B51">
        <v>1304277</v>
      </c>
      <c r="E51">
        <v>1251891</v>
      </c>
      <c r="H51">
        <v>139337</v>
      </c>
      <c r="K51">
        <v>3318974</v>
      </c>
      <c r="N51">
        <v>552243</v>
      </c>
      <c r="Q51">
        <v>46088</v>
      </c>
    </row>
    <row r="52" spans="1:19" x14ac:dyDescent="0.35">
      <c r="A52">
        <v>1943</v>
      </c>
      <c r="B52">
        <v>1559962</v>
      </c>
      <c r="E52">
        <v>346548</v>
      </c>
      <c r="H52">
        <v>70194</v>
      </c>
      <c r="K52">
        <v>4601745</v>
      </c>
      <c r="N52">
        <v>1377937</v>
      </c>
      <c r="Q52">
        <v>14792</v>
      </c>
    </row>
    <row r="53" spans="1:19" x14ac:dyDescent="0.35">
      <c r="A53">
        <v>1944</v>
      </c>
      <c r="B53">
        <v>1204170</v>
      </c>
      <c r="E53">
        <v>155707</v>
      </c>
      <c r="H53">
        <v>51174</v>
      </c>
      <c r="K53">
        <v>3966814</v>
      </c>
      <c r="N53">
        <v>1567996</v>
      </c>
      <c r="Q53">
        <v>3248</v>
      </c>
    </row>
    <row r="54" spans="1:19" x14ac:dyDescent="0.35">
      <c r="A54">
        <v>1945</v>
      </c>
      <c r="B54">
        <v>559417</v>
      </c>
      <c r="E54">
        <v>59383</v>
      </c>
      <c r="H54">
        <v>24211</v>
      </c>
      <c r="K54">
        <v>1844973</v>
      </c>
      <c r="N54">
        <v>665076</v>
      </c>
      <c r="Q54">
        <v>1072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5ACA-B907-4E54-8B10-3C9BCA7155B3}">
  <dimension ref="A2:G7"/>
  <sheetViews>
    <sheetView tabSelected="1" workbookViewId="0">
      <selection activeCell="G2" sqref="G2:G7"/>
    </sheetView>
  </sheetViews>
  <sheetFormatPr defaultRowHeight="14.5" x14ac:dyDescent="0.35"/>
  <sheetData>
    <row r="2" spans="1:7" x14ac:dyDescent="0.35">
      <c r="B2" t="s">
        <v>92</v>
      </c>
      <c r="C2" t="s">
        <v>88</v>
      </c>
      <c r="D2" t="s">
        <v>87</v>
      </c>
      <c r="E2" t="s">
        <v>89</v>
      </c>
      <c r="F2" t="s">
        <v>90</v>
      </c>
      <c r="G2" t="s">
        <v>91</v>
      </c>
    </row>
    <row r="3" spans="1:7" x14ac:dyDescent="0.35">
      <c r="A3">
        <v>1941</v>
      </c>
      <c r="B3">
        <v>391359</v>
      </c>
      <c r="C3">
        <v>1700099</v>
      </c>
      <c r="D3">
        <v>182060</v>
      </c>
      <c r="E3">
        <v>1112892</v>
      </c>
      <c r="F3">
        <v>53294</v>
      </c>
      <c r="G3">
        <v>12341</v>
      </c>
    </row>
    <row r="4" spans="1:7" x14ac:dyDescent="0.35">
      <c r="A4">
        <v>1942</v>
      </c>
      <c r="B4">
        <v>1304277</v>
      </c>
      <c r="C4">
        <v>1251891</v>
      </c>
      <c r="D4">
        <v>139337</v>
      </c>
      <c r="E4">
        <v>3318974</v>
      </c>
      <c r="F4">
        <v>552243</v>
      </c>
      <c r="G4">
        <v>46088</v>
      </c>
    </row>
    <row r="5" spans="1:7" x14ac:dyDescent="0.35">
      <c r="A5">
        <v>1943</v>
      </c>
      <c r="B5">
        <v>1559962</v>
      </c>
      <c r="C5">
        <v>346548</v>
      </c>
      <c r="D5">
        <v>70194</v>
      </c>
      <c r="E5">
        <v>4601745</v>
      </c>
      <c r="F5">
        <v>1377937</v>
      </c>
      <c r="G5">
        <v>14792</v>
      </c>
    </row>
    <row r="6" spans="1:7" x14ac:dyDescent="0.35">
      <c r="A6">
        <v>1944</v>
      </c>
      <c r="B6">
        <v>1204170</v>
      </c>
      <c r="C6">
        <v>155707</v>
      </c>
      <c r="D6">
        <v>51174</v>
      </c>
      <c r="E6">
        <v>3966814</v>
      </c>
      <c r="F6">
        <v>1567996</v>
      </c>
      <c r="G6">
        <v>3248</v>
      </c>
    </row>
    <row r="7" spans="1:7" x14ac:dyDescent="0.35">
      <c r="A7">
        <v>1945</v>
      </c>
      <c r="B7">
        <v>559417</v>
      </c>
      <c r="C7">
        <v>59383</v>
      </c>
      <c r="D7">
        <v>24211</v>
      </c>
      <c r="E7">
        <v>1844973</v>
      </c>
      <c r="F7">
        <v>665076</v>
      </c>
      <c r="G7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1744-3285-4EB0-BDC6-E5C39E17F94C}">
  <dimension ref="A1:AZ42"/>
  <sheetViews>
    <sheetView topLeftCell="AF1" zoomScale="51" workbookViewId="0">
      <selection activeCell="AX1" sqref="AX1"/>
    </sheetView>
  </sheetViews>
  <sheetFormatPr defaultRowHeight="14.5" x14ac:dyDescent="0.35"/>
  <sheetData>
    <row r="1" spans="1:52" x14ac:dyDescent="0.35">
      <c r="A1" t="s">
        <v>0</v>
      </c>
      <c r="B1" t="s">
        <v>106</v>
      </c>
      <c r="C1" t="s">
        <v>63</v>
      </c>
      <c r="D1" t="s">
        <v>107</v>
      </c>
      <c r="E1" t="s">
        <v>64</v>
      </c>
      <c r="F1" t="s">
        <v>108</v>
      </c>
      <c r="G1" t="s">
        <v>65</v>
      </c>
      <c r="H1" t="s">
        <v>109</v>
      </c>
      <c r="I1" t="s">
        <v>66</v>
      </c>
      <c r="J1" t="s">
        <v>110</v>
      </c>
      <c r="K1" t="s">
        <v>111</v>
      </c>
      <c r="L1" t="s">
        <v>112</v>
      </c>
      <c r="M1" t="s">
        <v>67</v>
      </c>
      <c r="N1" t="s">
        <v>113</v>
      </c>
      <c r="O1" t="s">
        <v>68</v>
      </c>
      <c r="P1" t="s">
        <v>114</v>
      </c>
      <c r="Q1" t="s">
        <v>69</v>
      </c>
      <c r="R1" t="s">
        <v>115</v>
      </c>
      <c r="S1" t="s">
        <v>70</v>
      </c>
      <c r="T1" t="s">
        <v>116</v>
      </c>
      <c r="U1" t="s">
        <v>117</v>
      </c>
      <c r="V1" t="s">
        <v>118</v>
      </c>
      <c r="W1" t="s">
        <v>71</v>
      </c>
      <c r="X1" t="s">
        <v>119</v>
      </c>
      <c r="Y1" t="s">
        <v>72</v>
      </c>
      <c r="Z1" t="s">
        <v>120</v>
      </c>
      <c r="AA1" t="s">
        <v>73</v>
      </c>
      <c r="AB1" t="s">
        <v>121</v>
      </c>
      <c r="AC1" t="s">
        <v>74</v>
      </c>
      <c r="AD1" t="s">
        <v>122</v>
      </c>
      <c r="AE1" t="s">
        <v>123</v>
      </c>
      <c r="AF1" t="s">
        <v>124</v>
      </c>
      <c r="AG1" t="s">
        <v>75</v>
      </c>
      <c r="AH1" t="s">
        <v>125</v>
      </c>
      <c r="AI1" t="s">
        <v>76</v>
      </c>
      <c r="AJ1" t="s">
        <v>126</v>
      </c>
      <c r="AK1" t="s">
        <v>77</v>
      </c>
      <c r="AL1" t="s">
        <v>127</v>
      </c>
      <c r="AM1" t="s">
        <v>78</v>
      </c>
      <c r="AN1" t="s">
        <v>128</v>
      </c>
      <c r="AO1" t="s">
        <v>129</v>
      </c>
      <c r="AP1" t="s">
        <v>130</v>
      </c>
      <c r="AQ1" t="s">
        <v>79</v>
      </c>
      <c r="AR1" t="s">
        <v>131</v>
      </c>
      <c r="AS1" t="s">
        <v>80</v>
      </c>
      <c r="AT1" t="s">
        <v>132</v>
      </c>
      <c r="AU1" t="s">
        <v>81</v>
      </c>
      <c r="AV1" t="s">
        <v>133</v>
      </c>
      <c r="AW1" t="s">
        <v>105</v>
      </c>
      <c r="AX1" t="s">
        <v>134</v>
      </c>
      <c r="AY1" t="s">
        <v>135</v>
      </c>
      <c r="AZ1" t="s">
        <v>136</v>
      </c>
    </row>
    <row r="2" spans="1:52" x14ac:dyDescent="0.35">
      <c r="A2" t="s">
        <v>21</v>
      </c>
      <c r="AG2">
        <v>136645</v>
      </c>
      <c r="AH2">
        <v>57.23</v>
      </c>
      <c r="AI2">
        <v>55963</v>
      </c>
      <c r="AJ2">
        <v>23.44</v>
      </c>
      <c r="AK2">
        <v>12</v>
      </c>
      <c r="AL2">
        <v>0.01</v>
      </c>
      <c r="AM2">
        <v>192620</v>
      </c>
      <c r="AN2">
        <v>80.67</v>
      </c>
      <c r="AO2">
        <v>42.44</v>
      </c>
      <c r="AP2">
        <v>5.1100000000000003</v>
      </c>
      <c r="AQ2">
        <v>264037</v>
      </c>
      <c r="AR2">
        <v>67.33</v>
      </c>
      <c r="AS2">
        <v>38107</v>
      </c>
      <c r="AT2">
        <v>9.7200000000000006</v>
      </c>
      <c r="AU2">
        <v>41</v>
      </c>
      <c r="AV2">
        <v>0.01</v>
      </c>
      <c r="AW2">
        <v>302185</v>
      </c>
      <c r="AX2">
        <v>77.06</v>
      </c>
      <c r="AY2">
        <v>41.96</v>
      </c>
      <c r="AZ2">
        <v>9.99</v>
      </c>
    </row>
    <row r="3" spans="1:52" x14ac:dyDescent="0.35">
      <c r="A3" t="s">
        <v>22</v>
      </c>
      <c r="AG3">
        <v>258611</v>
      </c>
      <c r="AH3">
        <v>61.34</v>
      </c>
      <c r="AI3">
        <v>76379</v>
      </c>
      <c r="AJ3">
        <v>18.12</v>
      </c>
      <c r="AM3">
        <v>334990</v>
      </c>
      <c r="AN3">
        <v>79.459999999999994</v>
      </c>
      <c r="AO3">
        <v>60.13</v>
      </c>
      <c r="AP3">
        <v>7.25</v>
      </c>
      <c r="AQ3">
        <v>297874</v>
      </c>
      <c r="AR3">
        <v>70.61</v>
      </c>
      <c r="AS3">
        <v>34396</v>
      </c>
      <c r="AT3">
        <v>8.15</v>
      </c>
      <c r="AU3">
        <v>37</v>
      </c>
      <c r="AV3">
        <v>0.01</v>
      </c>
      <c r="AW3">
        <v>332307</v>
      </c>
      <c r="AX3">
        <v>78.77</v>
      </c>
      <c r="AY3">
        <v>44.57</v>
      </c>
      <c r="AZ3">
        <v>10.61</v>
      </c>
    </row>
    <row r="4" spans="1:52" x14ac:dyDescent="0.35">
      <c r="A4" t="s">
        <v>23</v>
      </c>
      <c r="C4">
        <v>13112</v>
      </c>
      <c r="D4">
        <v>51.88</v>
      </c>
      <c r="E4">
        <v>1245</v>
      </c>
      <c r="F4">
        <v>4.93</v>
      </c>
      <c r="I4">
        <v>14682</v>
      </c>
      <c r="J4">
        <v>58.09</v>
      </c>
      <c r="K4">
        <v>19.62</v>
      </c>
      <c r="L4">
        <v>6.13</v>
      </c>
      <c r="M4">
        <v>19023</v>
      </c>
      <c r="N4">
        <v>45.34</v>
      </c>
      <c r="O4">
        <v>11343</v>
      </c>
      <c r="P4">
        <v>27.04</v>
      </c>
      <c r="Q4">
        <v>325</v>
      </c>
      <c r="R4">
        <v>1.28</v>
      </c>
      <c r="S4">
        <v>30455</v>
      </c>
      <c r="T4">
        <v>72.59</v>
      </c>
      <c r="U4">
        <v>31.16</v>
      </c>
      <c r="V4">
        <v>2.6</v>
      </c>
      <c r="W4">
        <v>3072</v>
      </c>
      <c r="X4">
        <v>24.21</v>
      </c>
      <c r="Y4">
        <v>7429</v>
      </c>
      <c r="Z4">
        <v>58.56</v>
      </c>
      <c r="AA4">
        <v>89</v>
      </c>
      <c r="AB4">
        <v>0.21</v>
      </c>
      <c r="AC4">
        <v>10528</v>
      </c>
      <c r="AD4">
        <v>82.98</v>
      </c>
      <c r="AE4">
        <v>12.15</v>
      </c>
      <c r="AF4">
        <v>1.01</v>
      </c>
      <c r="AG4">
        <v>98</v>
      </c>
      <c r="AH4">
        <v>11.6</v>
      </c>
      <c r="AI4">
        <v>662</v>
      </c>
      <c r="AJ4">
        <v>78.34</v>
      </c>
      <c r="AK4">
        <v>27</v>
      </c>
      <c r="AL4">
        <v>0.21</v>
      </c>
      <c r="AM4">
        <v>760</v>
      </c>
      <c r="AN4">
        <v>89.94</v>
      </c>
      <c r="AO4">
        <v>0.9</v>
      </c>
      <c r="AP4">
        <v>0.5</v>
      </c>
    </row>
    <row r="5" spans="1:52" x14ac:dyDescent="0.35">
      <c r="A5" t="s">
        <v>24</v>
      </c>
      <c r="C5">
        <v>41133</v>
      </c>
      <c r="D5">
        <v>20.74</v>
      </c>
      <c r="E5">
        <v>998</v>
      </c>
      <c r="F5">
        <v>0.5</v>
      </c>
      <c r="G5">
        <v>529</v>
      </c>
      <c r="H5">
        <v>0.27</v>
      </c>
      <c r="I5">
        <v>42660</v>
      </c>
      <c r="J5">
        <v>21.51</v>
      </c>
      <c r="K5">
        <v>23.62</v>
      </c>
      <c r="L5">
        <v>8.15</v>
      </c>
      <c r="M5">
        <v>122890</v>
      </c>
      <c r="N5">
        <v>48.46</v>
      </c>
      <c r="O5">
        <v>26215</v>
      </c>
      <c r="P5">
        <v>10.34</v>
      </c>
      <c r="Q5">
        <v>1004</v>
      </c>
      <c r="R5">
        <v>0.39</v>
      </c>
      <c r="S5">
        <v>150109</v>
      </c>
      <c r="T5">
        <v>59.19</v>
      </c>
      <c r="U5">
        <v>44.24</v>
      </c>
      <c r="V5">
        <v>3.69</v>
      </c>
      <c r="W5">
        <v>80444</v>
      </c>
      <c r="X5">
        <v>59.63</v>
      </c>
      <c r="Y5">
        <v>10247</v>
      </c>
      <c r="Z5">
        <v>7.6</v>
      </c>
      <c r="AA5">
        <v>278</v>
      </c>
      <c r="AB5">
        <v>0.2</v>
      </c>
      <c r="AC5">
        <v>90969</v>
      </c>
      <c r="AD5">
        <v>67.430000000000007</v>
      </c>
      <c r="AE5">
        <v>23.23</v>
      </c>
      <c r="AF5">
        <v>9.9700000000000006</v>
      </c>
    </row>
    <row r="6" spans="1:52" x14ac:dyDescent="0.35">
      <c r="A6" t="s">
        <v>25</v>
      </c>
      <c r="C6">
        <v>452</v>
      </c>
      <c r="D6">
        <v>26.68</v>
      </c>
      <c r="E6">
        <v>15</v>
      </c>
      <c r="F6">
        <v>0.89</v>
      </c>
      <c r="I6">
        <v>469</v>
      </c>
      <c r="J6">
        <v>27.69</v>
      </c>
      <c r="K6">
        <v>0.3</v>
      </c>
      <c r="L6">
        <v>0.3</v>
      </c>
      <c r="M6">
        <v>751</v>
      </c>
      <c r="N6">
        <v>26.14</v>
      </c>
      <c r="O6">
        <v>956</v>
      </c>
      <c r="P6">
        <v>33.28</v>
      </c>
      <c r="Q6">
        <v>2</v>
      </c>
      <c r="R6">
        <v>0.12</v>
      </c>
      <c r="S6">
        <v>1707</v>
      </c>
      <c r="T6">
        <v>59.42</v>
      </c>
      <c r="U6">
        <v>1.44</v>
      </c>
      <c r="V6">
        <v>0.12</v>
      </c>
      <c r="W6">
        <v>64</v>
      </c>
      <c r="X6">
        <v>1.48</v>
      </c>
      <c r="Y6">
        <v>3553</v>
      </c>
      <c r="Z6">
        <v>82.33</v>
      </c>
      <c r="AA6">
        <v>4</v>
      </c>
      <c r="AB6">
        <v>0.09</v>
      </c>
      <c r="AC6">
        <v>3621</v>
      </c>
      <c r="AD6">
        <v>83.9</v>
      </c>
      <c r="AE6">
        <v>6.64</v>
      </c>
      <c r="AF6">
        <v>0.74</v>
      </c>
    </row>
    <row r="7" spans="1:52" x14ac:dyDescent="0.35">
      <c r="A7" t="s">
        <v>26</v>
      </c>
      <c r="C7">
        <v>1307</v>
      </c>
      <c r="D7">
        <v>63.82</v>
      </c>
      <c r="G7">
        <v>542</v>
      </c>
      <c r="H7">
        <v>26.46</v>
      </c>
      <c r="I7">
        <v>1849</v>
      </c>
      <c r="J7">
        <v>90.28</v>
      </c>
      <c r="K7">
        <v>0.76</v>
      </c>
      <c r="L7">
        <v>1.52</v>
      </c>
      <c r="M7">
        <v>326477</v>
      </c>
      <c r="N7">
        <v>55.14</v>
      </c>
      <c r="O7">
        <v>53081</v>
      </c>
      <c r="P7">
        <v>8.9600000000000009</v>
      </c>
      <c r="Q7">
        <v>4034</v>
      </c>
      <c r="R7">
        <v>0.68</v>
      </c>
      <c r="S7">
        <v>383592</v>
      </c>
      <c r="T7">
        <v>64.78</v>
      </c>
      <c r="U7">
        <v>110.52</v>
      </c>
      <c r="V7">
        <v>10.53</v>
      </c>
      <c r="W7">
        <v>189587</v>
      </c>
      <c r="X7">
        <v>58.99</v>
      </c>
      <c r="Y7">
        <v>53766</v>
      </c>
      <c r="Z7">
        <v>16.73</v>
      </c>
      <c r="AA7">
        <v>147</v>
      </c>
      <c r="AB7">
        <v>0.04</v>
      </c>
      <c r="AC7">
        <v>243500</v>
      </c>
      <c r="AD7">
        <v>75.760000000000005</v>
      </c>
      <c r="AE7">
        <v>69.87</v>
      </c>
      <c r="AF7">
        <v>5.82</v>
      </c>
      <c r="AG7">
        <v>33343</v>
      </c>
      <c r="AH7">
        <v>66.28</v>
      </c>
      <c r="AI7">
        <v>4939</v>
      </c>
      <c r="AJ7">
        <v>9.82</v>
      </c>
      <c r="AK7">
        <v>11</v>
      </c>
      <c r="AL7">
        <v>0.02</v>
      </c>
      <c r="AM7">
        <v>38293</v>
      </c>
      <c r="AN7">
        <v>76.12</v>
      </c>
      <c r="AO7">
        <v>13.07</v>
      </c>
      <c r="AP7">
        <v>8.7100000000000009</v>
      </c>
    </row>
    <row r="8" spans="1:52" x14ac:dyDescent="0.35">
      <c r="A8" t="s">
        <v>27</v>
      </c>
      <c r="M8">
        <v>138769</v>
      </c>
      <c r="N8">
        <v>54.44</v>
      </c>
      <c r="O8">
        <v>12265</v>
      </c>
      <c r="P8">
        <v>4.8099999999999996</v>
      </c>
      <c r="Q8">
        <v>68</v>
      </c>
      <c r="R8">
        <v>0.03</v>
      </c>
      <c r="S8">
        <v>151102</v>
      </c>
      <c r="T8">
        <v>59.28</v>
      </c>
      <c r="U8">
        <v>49.76</v>
      </c>
      <c r="V8">
        <v>8.58</v>
      </c>
      <c r="W8">
        <v>536285</v>
      </c>
      <c r="X8">
        <v>62.26</v>
      </c>
      <c r="Y8">
        <v>64153</v>
      </c>
      <c r="Z8">
        <v>7.45</v>
      </c>
      <c r="AA8">
        <v>668</v>
      </c>
      <c r="AB8">
        <v>0.08</v>
      </c>
      <c r="AC8">
        <v>601106</v>
      </c>
      <c r="AD8">
        <v>69.790000000000006</v>
      </c>
      <c r="AE8">
        <v>107.25</v>
      </c>
      <c r="AF8">
        <v>8.94</v>
      </c>
      <c r="AG8">
        <v>593361</v>
      </c>
      <c r="AH8">
        <v>62.09</v>
      </c>
      <c r="AI8">
        <v>134361</v>
      </c>
      <c r="AJ8">
        <v>14.06</v>
      </c>
      <c r="AK8">
        <v>404</v>
      </c>
      <c r="AL8">
        <v>0.04</v>
      </c>
      <c r="AM8">
        <v>728126</v>
      </c>
      <c r="AN8">
        <v>76.19</v>
      </c>
      <c r="AO8">
        <v>77.52</v>
      </c>
      <c r="AP8">
        <v>6.46</v>
      </c>
      <c r="AQ8">
        <v>364103</v>
      </c>
      <c r="AR8">
        <v>68.81</v>
      </c>
      <c r="AS8">
        <v>39469</v>
      </c>
      <c r="AT8">
        <v>7.46</v>
      </c>
      <c r="AU8">
        <v>58</v>
      </c>
      <c r="AV8">
        <v>0.01</v>
      </c>
      <c r="AW8">
        <v>403630</v>
      </c>
      <c r="AX8">
        <v>76.28</v>
      </c>
      <c r="AY8">
        <v>41.17</v>
      </c>
      <c r="AZ8">
        <v>9.8000000000000007</v>
      </c>
    </row>
    <row r="9" spans="1:52" x14ac:dyDescent="0.35">
      <c r="A9" t="s">
        <v>28</v>
      </c>
      <c r="M9">
        <v>144250</v>
      </c>
      <c r="N9">
        <v>46.43</v>
      </c>
      <c r="O9">
        <v>25395</v>
      </c>
      <c r="P9">
        <v>8.17</v>
      </c>
      <c r="Q9">
        <v>1696</v>
      </c>
      <c r="R9">
        <v>0.55000000000000004</v>
      </c>
      <c r="S9">
        <v>171341</v>
      </c>
      <c r="T9">
        <v>55.15</v>
      </c>
      <c r="U9">
        <v>16.2</v>
      </c>
      <c r="V9">
        <v>2.13</v>
      </c>
      <c r="W9">
        <v>27269</v>
      </c>
      <c r="X9">
        <v>48.77</v>
      </c>
      <c r="Y9">
        <v>11414</v>
      </c>
      <c r="Z9">
        <v>20.420000000000002</v>
      </c>
      <c r="AA9">
        <v>2412</v>
      </c>
      <c r="AB9">
        <v>4.3099999999999996</v>
      </c>
      <c r="AC9">
        <v>41095</v>
      </c>
      <c r="AD9">
        <v>73.5</v>
      </c>
      <c r="AE9">
        <v>5.99</v>
      </c>
      <c r="AF9">
        <v>2.0699999999999998</v>
      </c>
    </row>
    <row r="10" spans="1:52" x14ac:dyDescent="0.35">
      <c r="A10" t="s">
        <v>29</v>
      </c>
      <c r="C10">
        <v>328735</v>
      </c>
      <c r="D10">
        <v>25.33</v>
      </c>
      <c r="E10">
        <v>9069</v>
      </c>
      <c r="F10">
        <v>0.7</v>
      </c>
      <c r="G10">
        <v>3857</v>
      </c>
      <c r="H10">
        <v>0.28999999999999998</v>
      </c>
      <c r="I10">
        <v>341661</v>
      </c>
      <c r="J10">
        <v>26.32</v>
      </c>
      <c r="K10">
        <v>68.180000000000007</v>
      </c>
      <c r="L10">
        <v>10.82</v>
      </c>
      <c r="M10">
        <v>665341</v>
      </c>
      <c r="N10">
        <v>61.11</v>
      </c>
      <c r="O10">
        <v>105540</v>
      </c>
      <c r="P10">
        <v>9.69</v>
      </c>
      <c r="Q10">
        <v>3249</v>
      </c>
      <c r="R10">
        <v>0.3</v>
      </c>
      <c r="S10">
        <v>774130</v>
      </c>
      <c r="T10">
        <v>71.099999999999994</v>
      </c>
      <c r="U10">
        <v>80.92</v>
      </c>
      <c r="V10">
        <v>6.74</v>
      </c>
      <c r="W10">
        <v>582977</v>
      </c>
      <c r="X10">
        <v>62.05</v>
      </c>
      <c r="Y10">
        <v>133954</v>
      </c>
      <c r="Z10">
        <v>14.26</v>
      </c>
      <c r="AA10">
        <v>245</v>
      </c>
      <c r="AB10">
        <v>0.02</v>
      </c>
      <c r="AC10">
        <v>717176</v>
      </c>
      <c r="AD10">
        <v>76.33</v>
      </c>
      <c r="AE10">
        <v>93.41</v>
      </c>
      <c r="AF10">
        <v>7.79</v>
      </c>
      <c r="AG10">
        <v>126468</v>
      </c>
      <c r="AH10">
        <v>60.81</v>
      </c>
      <c r="AI10">
        <v>39480</v>
      </c>
      <c r="AJ10">
        <v>18.98</v>
      </c>
      <c r="AK10">
        <v>71</v>
      </c>
      <c r="AL10">
        <v>0.03</v>
      </c>
      <c r="AM10">
        <v>166019</v>
      </c>
      <c r="AN10">
        <v>79.819999999999993</v>
      </c>
      <c r="AO10">
        <v>31.15</v>
      </c>
      <c r="AP10">
        <v>8.42</v>
      </c>
    </row>
    <row r="11" spans="1:52" x14ac:dyDescent="0.35">
      <c r="A11" t="s">
        <v>30</v>
      </c>
      <c r="C11">
        <v>65491</v>
      </c>
      <c r="D11">
        <v>55.26</v>
      </c>
      <c r="E11">
        <v>1990</v>
      </c>
      <c r="F11">
        <v>1.68</v>
      </c>
      <c r="G11">
        <v>1003</v>
      </c>
      <c r="H11">
        <v>0.85</v>
      </c>
      <c r="I11">
        <v>68484</v>
      </c>
      <c r="J11">
        <v>57.79</v>
      </c>
      <c r="K11">
        <v>34.979999999999997</v>
      </c>
      <c r="L11">
        <v>14.57</v>
      </c>
      <c r="M11">
        <v>507607</v>
      </c>
      <c r="N11">
        <v>58.66</v>
      </c>
      <c r="O11">
        <v>60534</v>
      </c>
      <c r="P11">
        <v>6.99</v>
      </c>
      <c r="Q11">
        <v>5818</v>
      </c>
      <c r="R11">
        <v>0.67</v>
      </c>
      <c r="S11">
        <v>573959</v>
      </c>
      <c r="T11">
        <v>66.319999999999993</v>
      </c>
      <c r="U11">
        <v>94.44</v>
      </c>
      <c r="V11">
        <v>7.87</v>
      </c>
      <c r="W11">
        <v>301602</v>
      </c>
      <c r="X11">
        <v>60.66</v>
      </c>
      <c r="Y11">
        <v>70615</v>
      </c>
      <c r="Z11">
        <v>14.2</v>
      </c>
      <c r="AA11">
        <v>297</v>
      </c>
      <c r="AB11">
        <v>0.06</v>
      </c>
      <c r="AC11">
        <v>372514</v>
      </c>
      <c r="AD11">
        <v>74.92</v>
      </c>
      <c r="AE11">
        <v>80.38</v>
      </c>
      <c r="AF11">
        <v>6.7</v>
      </c>
      <c r="AG11">
        <v>367995</v>
      </c>
      <c r="AH11">
        <v>61.45</v>
      </c>
      <c r="AI11">
        <v>97519</v>
      </c>
      <c r="AJ11">
        <v>16.28</v>
      </c>
      <c r="AK11">
        <v>124</v>
      </c>
      <c r="AL11">
        <v>0.02</v>
      </c>
      <c r="AM11">
        <v>465638</v>
      </c>
      <c r="AN11">
        <v>77.75</v>
      </c>
      <c r="AO11">
        <v>94.78</v>
      </c>
      <c r="AP11">
        <v>7.9</v>
      </c>
      <c r="AQ11">
        <v>53786</v>
      </c>
      <c r="AR11">
        <v>57.99</v>
      </c>
      <c r="AS11">
        <v>17348</v>
      </c>
      <c r="AT11">
        <v>18.71</v>
      </c>
      <c r="AU11">
        <v>33</v>
      </c>
      <c r="AV11">
        <v>0.03</v>
      </c>
      <c r="AW11">
        <v>71167</v>
      </c>
      <c r="AX11">
        <v>76.73</v>
      </c>
      <c r="AY11">
        <v>22.64</v>
      </c>
      <c r="AZ11">
        <v>7.52</v>
      </c>
    </row>
    <row r="12" spans="1:52" x14ac:dyDescent="0.35">
      <c r="A12" t="s">
        <v>31</v>
      </c>
      <c r="C12">
        <v>37092</v>
      </c>
      <c r="D12">
        <v>47.68</v>
      </c>
      <c r="E12">
        <v>5292</v>
      </c>
      <c r="F12">
        <v>6.8</v>
      </c>
      <c r="G12">
        <v>1374</v>
      </c>
      <c r="H12">
        <v>1.77</v>
      </c>
      <c r="I12">
        <v>43758</v>
      </c>
      <c r="J12">
        <v>56.25</v>
      </c>
      <c r="K12">
        <v>23.84</v>
      </c>
      <c r="L12">
        <v>5.96</v>
      </c>
      <c r="M12">
        <v>53849</v>
      </c>
      <c r="N12">
        <v>43.53</v>
      </c>
      <c r="O12">
        <v>36202</v>
      </c>
      <c r="P12">
        <v>29.27</v>
      </c>
      <c r="Q12">
        <v>1154</v>
      </c>
      <c r="R12">
        <v>0.93</v>
      </c>
      <c r="S12">
        <v>91205</v>
      </c>
      <c r="T12">
        <v>73.73</v>
      </c>
      <c r="U12">
        <v>33.92</v>
      </c>
      <c r="V12">
        <v>2.83</v>
      </c>
      <c r="W12">
        <v>15181</v>
      </c>
      <c r="X12">
        <v>26.51</v>
      </c>
      <c r="Y12">
        <v>32933</v>
      </c>
      <c r="Z12">
        <v>57.5</v>
      </c>
      <c r="AA12">
        <v>185</v>
      </c>
      <c r="AB12">
        <v>0.32</v>
      </c>
      <c r="AC12">
        <v>48299</v>
      </c>
      <c r="AD12">
        <v>84.33</v>
      </c>
      <c r="AE12">
        <v>19.25</v>
      </c>
      <c r="AF12">
        <v>1.6</v>
      </c>
      <c r="AG12">
        <v>73873</v>
      </c>
      <c r="AH12">
        <v>46.27</v>
      </c>
      <c r="AI12">
        <v>50258</v>
      </c>
      <c r="AJ12">
        <v>31.48</v>
      </c>
      <c r="AK12">
        <v>714</v>
      </c>
      <c r="AL12">
        <v>0.45</v>
      </c>
      <c r="AM12">
        <v>124845</v>
      </c>
      <c r="AN12">
        <v>78.2</v>
      </c>
      <c r="AO12">
        <v>37.89</v>
      </c>
      <c r="AP12">
        <v>3.61</v>
      </c>
      <c r="AS12">
        <v>1718</v>
      </c>
      <c r="AT12">
        <v>93.42</v>
      </c>
      <c r="AW12">
        <v>1718</v>
      </c>
      <c r="AX12">
        <v>93.42</v>
      </c>
    </row>
    <row r="13" spans="1:52" x14ac:dyDescent="0.35">
      <c r="A13" t="s">
        <v>32</v>
      </c>
      <c r="C13">
        <v>165305</v>
      </c>
      <c r="D13">
        <v>50.17</v>
      </c>
      <c r="E13">
        <v>17712</v>
      </c>
      <c r="F13">
        <v>5.37</v>
      </c>
      <c r="G13">
        <v>1762</v>
      </c>
      <c r="H13">
        <v>0.53</v>
      </c>
      <c r="I13">
        <v>184779</v>
      </c>
      <c r="J13">
        <v>56.07</v>
      </c>
      <c r="K13">
        <v>35.85</v>
      </c>
      <c r="L13">
        <v>8.5299999999999994</v>
      </c>
      <c r="M13">
        <v>153661</v>
      </c>
      <c r="N13">
        <v>48.11</v>
      </c>
      <c r="O13">
        <v>80184</v>
      </c>
      <c r="P13">
        <v>25.11</v>
      </c>
      <c r="Q13">
        <v>1861</v>
      </c>
      <c r="R13">
        <v>0.57999999999999996</v>
      </c>
      <c r="S13">
        <v>235706</v>
      </c>
      <c r="T13">
        <v>73.8</v>
      </c>
      <c r="U13">
        <v>56.73</v>
      </c>
      <c r="V13">
        <v>4.7300000000000004</v>
      </c>
      <c r="W13">
        <v>213602</v>
      </c>
      <c r="X13">
        <v>54.66</v>
      </c>
      <c r="Y13">
        <v>88263</v>
      </c>
      <c r="Z13">
        <v>22.58</v>
      </c>
      <c r="AA13">
        <v>184</v>
      </c>
      <c r="AB13">
        <v>0.05</v>
      </c>
      <c r="AC13">
        <v>302049</v>
      </c>
      <c r="AD13">
        <v>77.290000000000006</v>
      </c>
      <c r="AE13">
        <v>58.74</v>
      </c>
      <c r="AF13">
        <v>4.8899999999999997</v>
      </c>
      <c r="AG13">
        <v>406153</v>
      </c>
      <c r="AH13">
        <v>61</v>
      </c>
      <c r="AI13">
        <v>114094</v>
      </c>
      <c r="AJ13">
        <v>17.14</v>
      </c>
      <c r="AK13">
        <v>478</v>
      </c>
      <c r="AL13">
        <v>7.0000000000000007E-2</v>
      </c>
      <c r="AM13">
        <v>520725</v>
      </c>
      <c r="AN13">
        <v>78.209999999999994</v>
      </c>
      <c r="AO13">
        <v>85.06</v>
      </c>
      <c r="AP13">
        <v>7.09</v>
      </c>
      <c r="AQ13">
        <v>11040</v>
      </c>
      <c r="AR13">
        <v>22.37</v>
      </c>
      <c r="AS13">
        <v>33073</v>
      </c>
      <c r="AT13">
        <v>67</v>
      </c>
      <c r="AU13">
        <v>1</v>
      </c>
      <c r="AW13">
        <v>44114</v>
      </c>
      <c r="AX13">
        <v>89.37</v>
      </c>
      <c r="AY13">
        <v>7.27</v>
      </c>
      <c r="AZ13">
        <v>1.73</v>
      </c>
    </row>
    <row r="14" spans="1:52" x14ac:dyDescent="0.35">
      <c r="A14" t="s">
        <v>33</v>
      </c>
      <c r="W14">
        <v>6075</v>
      </c>
      <c r="X14">
        <v>43.64</v>
      </c>
      <c r="Y14">
        <v>3651</v>
      </c>
      <c r="Z14">
        <v>26.23</v>
      </c>
      <c r="AC14">
        <v>9726</v>
      </c>
      <c r="AD14">
        <v>69.87</v>
      </c>
      <c r="AE14">
        <v>4.6399999999999997</v>
      </c>
      <c r="AF14">
        <v>3.31</v>
      </c>
      <c r="AG14">
        <v>26282</v>
      </c>
      <c r="AH14">
        <v>47.28</v>
      </c>
      <c r="AI14">
        <v>19164</v>
      </c>
      <c r="AJ14">
        <v>34.479999999999997</v>
      </c>
      <c r="AK14">
        <v>260</v>
      </c>
      <c r="AL14">
        <v>0.47</v>
      </c>
      <c r="AM14">
        <v>45706</v>
      </c>
      <c r="AN14">
        <v>82.23</v>
      </c>
      <c r="AO14">
        <v>41.11</v>
      </c>
      <c r="AP14">
        <v>3.77</v>
      </c>
      <c r="AQ14">
        <v>4</v>
      </c>
      <c r="AR14">
        <v>0.61</v>
      </c>
      <c r="AS14">
        <v>633</v>
      </c>
      <c r="AT14">
        <v>96.35</v>
      </c>
      <c r="AW14">
        <v>637</v>
      </c>
      <c r="AX14">
        <v>96.96</v>
      </c>
      <c r="AY14">
        <v>2.11</v>
      </c>
      <c r="AZ14">
        <v>0.5</v>
      </c>
    </row>
    <row r="15" spans="1:52" x14ac:dyDescent="0.35">
      <c r="A15" t="s">
        <v>34</v>
      </c>
      <c r="W15">
        <v>62428</v>
      </c>
      <c r="X15">
        <v>59.12</v>
      </c>
      <c r="Y15">
        <v>18814</v>
      </c>
      <c r="Z15">
        <v>17.82</v>
      </c>
      <c r="AA15">
        <v>35</v>
      </c>
      <c r="AB15">
        <v>0.03</v>
      </c>
      <c r="AC15">
        <v>81277</v>
      </c>
      <c r="AD15">
        <v>76.97</v>
      </c>
      <c r="AE15">
        <v>19.03</v>
      </c>
      <c r="AF15">
        <v>7.05</v>
      </c>
      <c r="AG15">
        <v>354284</v>
      </c>
      <c r="AH15">
        <v>62.46</v>
      </c>
      <c r="AI15">
        <v>91302</v>
      </c>
      <c r="AJ15">
        <v>16.100000000000001</v>
      </c>
      <c r="AK15">
        <v>208</v>
      </c>
      <c r="AL15">
        <v>0.04</v>
      </c>
      <c r="AM15">
        <v>445794</v>
      </c>
      <c r="AN15">
        <v>78.599999999999994</v>
      </c>
      <c r="AO15">
        <v>104.41</v>
      </c>
      <c r="AP15">
        <v>8.6999999999999993</v>
      </c>
      <c r="AQ15">
        <v>116847</v>
      </c>
      <c r="AR15">
        <v>60.96</v>
      </c>
      <c r="AS15">
        <v>35190</v>
      </c>
      <c r="AT15">
        <v>18.36</v>
      </c>
      <c r="AU15">
        <v>60</v>
      </c>
      <c r="AV15">
        <v>0.03</v>
      </c>
      <c r="AW15">
        <v>152097</v>
      </c>
      <c r="AX15">
        <v>79.349999999999994</v>
      </c>
      <c r="AY15">
        <v>27.03</v>
      </c>
      <c r="AZ15">
        <v>9.01</v>
      </c>
    </row>
    <row r="16" spans="1:52" x14ac:dyDescent="0.35">
      <c r="A16" t="s">
        <v>35</v>
      </c>
      <c r="C16">
        <v>32977</v>
      </c>
      <c r="D16">
        <v>47.31</v>
      </c>
      <c r="E16">
        <v>986</v>
      </c>
      <c r="F16">
        <v>1.41</v>
      </c>
      <c r="G16">
        <v>89</v>
      </c>
      <c r="H16">
        <v>0.13</v>
      </c>
      <c r="I16">
        <v>34052</v>
      </c>
      <c r="J16">
        <v>48.85</v>
      </c>
      <c r="K16">
        <v>52.22</v>
      </c>
      <c r="L16">
        <v>13.05</v>
      </c>
      <c r="M16">
        <v>20243</v>
      </c>
      <c r="N16">
        <v>21.79</v>
      </c>
      <c r="O16">
        <v>3201</v>
      </c>
      <c r="P16">
        <v>3.45</v>
      </c>
      <c r="Q16">
        <v>348</v>
      </c>
      <c r="R16">
        <v>0.37</v>
      </c>
      <c r="S16">
        <v>23792</v>
      </c>
      <c r="T16">
        <v>25.61</v>
      </c>
      <c r="U16">
        <v>29.86</v>
      </c>
      <c r="V16">
        <v>4.97</v>
      </c>
    </row>
    <row r="17" spans="1:52" x14ac:dyDescent="0.35">
      <c r="A17" t="s">
        <v>36</v>
      </c>
      <c r="C17">
        <v>83816</v>
      </c>
      <c r="D17">
        <v>31.03</v>
      </c>
      <c r="E17">
        <v>3741</v>
      </c>
      <c r="F17">
        <v>1.39</v>
      </c>
      <c r="G17">
        <v>266</v>
      </c>
      <c r="H17">
        <v>0.1</v>
      </c>
      <c r="I17">
        <v>87823</v>
      </c>
      <c r="J17">
        <v>32.520000000000003</v>
      </c>
      <c r="K17">
        <v>33.81</v>
      </c>
      <c r="L17">
        <v>5.37</v>
      </c>
      <c r="M17">
        <v>319111</v>
      </c>
      <c r="N17">
        <v>57.07</v>
      </c>
      <c r="O17">
        <v>53878</v>
      </c>
      <c r="P17">
        <v>9.64</v>
      </c>
      <c r="Q17">
        <v>1856</v>
      </c>
      <c r="R17">
        <v>0.33</v>
      </c>
      <c r="S17">
        <v>374845</v>
      </c>
      <c r="T17">
        <v>67.040000000000006</v>
      </c>
      <c r="U17">
        <v>104.28</v>
      </c>
      <c r="V17">
        <v>8.69</v>
      </c>
      <c r="W17">
        <v>188234</v>
      </c>
      <c r="X17">
        <v>56.11</v>
      </c>
      <c r="Y17">
        <v>58230</v>
      </c>
      <c r="Z17">
        <v>17.36</v>
      </c>
      <c r="AA17">
        <v>189</v>
      </c>
      <c r="AB17">
        <v>0.06</v>
      </c>
      <c r="AC17">
        <v>246653</v>
      </c>
      <c r="AD17">
        <v>73.53</v>
      </c>
      <c r="AE17">
        <v>71.790000000000006</v>
      </c>
      <c r="AF17">
        <v>6.77</v>
      </c>
    </row>
    <row r="18" spans="1:52" x14ac:dyDescent="0.35">
      <c r="A18" t="s">
        <v>37</v>
      </c>
      <c r="M18">
        <v>266644</v>
      </c>
      <c r="N18">
        <v>38.76</v>
      </c>
      <c r="O18">
        <v>17757</v>
      </c>
      <c r="P18">
        <v>2.58</v>
      </c>
      <c r="Q18">
        <v>270</v>
      </c>
      <c r="R18">
        <v>0.04</v>
      </c>
      <c r="S18">
        <v>284671</v>
      </c>
      <c r="T18">
        <v>41.38</v>
      </c>
      <c r="U18">
        <v>62.54</v>
      </c>
      <c r="V18">
        <v>11.17</v>
      </c>
      <c r="W18">
        <v>68838</v>
      </c>
      <c r="X18">
        <v>66.209999999999994</v>
      </c>
      <c r="Y18">
        <v>8614</v>
      </c>
      <c r="Z18">
        <v>8.2899999999999991</v>
      </c>
      <c r="AA18">
        <v>788</v>
      </c>
      <c r="AB18">
        <v>0.75</v>
      </c>
      <c r="AC18">
        <v>78240</v>
      </c>
      <c r="AD18">
        <v>75.25</v>
      </c>
      <c r="AE18">
        <v>21.86</v>
      </c>
      <c r="AF18">
        <v>14.57</v>
      </c>
    </row>
    <row r="19" spans="1:52" x14ac:dyDescent="0.35">
      <c r="A19" t="s">
        <v>38</v>
      </c>
      <c r="W19">
        <v>415395</v>
      </c>
      <c r="X19">
        <v>68.2</v>
      </c>
      <c r="Y19">
        <v>30489</v>
      </c>
      <c r="Z19">
        <v>5.01</v>
      </c>
      <c r="AA19">
        <v>60</v>
      </c>
      <c r="AB19">
        <v>0.01</v>
      </c>
      <c r="AC19">
        <v>445944</v>
      </c>
      <c r="AD19">
        <v>73.22</v>
      </c>
      <c r="AE19">
        <v>88.18</v>
      </c>
      <c r="AF19">
        <v>15.2</v>
      </c>
      <c r="AG19">
        <v>456080</v>
      </c>
      <c r="AH19">
        <v>61.41</v>
      </c>
      <c r="AI19">
        <v>127256</v>
      </c>
      <c r="AJ19">
        <v>17.13</v>
      </c>
      <c r="AK19">
        <v>194</v>
      </c>
      <c r="AL19">
        <v>0.03</v>
      </c>
      <c r="AM19">
        <v>583530</v>
      </c>
      <c r="AN19">
        <v>78.569999999999993</v>
      </c>
      <c r="AO19">
        <v>79.349999999999994</v>
      </c>
      <c r="AP19">
        <v>6.61</v>
      </c>
      <c r="AQ19">
        <v>141463</v>
      </c>
      <c r="AR19">
        <v>62.21</v>
      </c>
      <c r="AS19">
        <v>37797</v>
      </c>
      <c r="AT19">
        <v>16.62</v>
      </c>
      <c r="AU19">
        <v>39</v>
      </c>
      <c r="AV19">
        <v>0.02</v>
      </c>
      <c r="AW19">
        <v>179299</v>
      </c>
      <c r="AX19">
        <v>78.849999999999994</v>
      </c>
      <c r="AY19">
        <v>30.65</v>
      </c>
      <c r="AZ19">
        <v>7.3</v>
      </c>
    </row>
    <row r="20" spans="1:52" x14ac:dyDescent="0.35">
      <c r="A20" t="s">
        <v>39</v>
      </c>
      <c r="W20">
        <v>489514</v>
      </c>
      <c r="X20">
        <v>64.19</v>
      </c>
      <c r="Y20">
        <v>550436</v>
      </c>
      <c r="Z20">
        <v>72.180000000000007</v>
      </c>
      <c r="AA20">
        <v>475</v>
      </c>
      <c r="AB20">
        <v>0.06</v>
      </c>
      <c r="AC20">
        <v>549795</v>
      </c>
      <c r="AD20">
        <v>72.180000000000007</v>
      </c>
      <c r="AE20">
        <v>88.9</v>
      </c>
      <c r="AF20">
        <v>8.4700000000000006</v>
      </c>
      <c r="AG20">
        <v>454419</v>
      </c>
      <c r="AH20">
        <v>60.47</v>
      </c>
      <c r="AI20">
        <v>585459</v>
      </c>
      <c r="AJ20">
        <v>77.91</v>
      </c>
      <c r="AK20">
        <v>59</v>
      </c>
      <c r="AL20">
        <v>0.01</v>
      </c>
      <c r="AM20">
        <v>639049</v>
      </c>
      <c r="AN20">
        <v>77.91</v>
      </c>
      <c r="AO20">
        <v>68.58</v>
      </c>
      <c r="AP20">
        <v>5.72</v>
      </c>
      <c r="AQ20">
        <v>321224</v>
      </c>
      <c r="AR20">
        <v>67.67</v>
      </c>
      <c r="AS20">
        <v>368465</v>
      </c>
      <c r="AT20">
        <v>77.62</v>
      </c>
      <c r="AU20">
        <v>25</v>
      </c>
      <c r="AW20">
        <v>413546</v>
      </c>
      <c r="AX20">
        <v>77.62</v>
      </c>
      <c r="AY20">
        <v>35.590000000000003</v>
      </c>
      <c r="AZ20">
        <v>8.4700000000000006</v>
      </c>
    </row>
    <row r="21" spans="1:52" x14ac:dyDescent="0.35">
      <c r="A21" t="s">
        <v>40</v>
      </c>
      <c r="M21">
        <v>97707</v>
      </c>
      <c r="N21">
        <v>65.91</v>
      </c>
      <c r="O21">
        <v>5651</v>
      </c>
      <c r="P21">
        <v>3.81</v>
      </c>
      <c r="Q21">
        <v>2285</v>
      </c>
      <c r="R21">
        <v>1.54</v>
      </c>
      <c r="S21">
        <v>105643</v>
      </c>
      <c r="T21">
        <v>71.260000000000005</v>
      </c>
      <c r="U21">
        <v>31.49</v>
      </c>
      <c r="V21">
        <v>14.32</v>
      </c>
      <c r="W21">
        <v>431710</v>
      </c>
      <c r="X21">
        <v>63.34</v>
      </c>
      <c r="Y21">
        <v>58642</v>
      </c>
      <c r="Z21">
        <v>8.6</v>
      </c>
      <c r="AA21">
        <v>2227</v>
      </c>
      <c r="AB21">
        <v>0.33</v>
      </c>
      <c r="AC21">
        <v>492579</v>
      </c>
      <c r="AD21">
        <v>72.27</v>
      </c>
      <c r="AE21">
        <v>99.37</v>
      </c>
      <c r="AF21">
        <v>8.2799999999999994</v>
      </c>
      <c r="AG21">
        <v>327742</v>
      </c>
      <c r="AH21">
        <v>60.97</v>
      </c>
      <c r="AI21">
        <v>97588</v>
      </c>
      <c r="AJ21">
        <v>18.149999999999999</v>
      </c>
      <c r="AK21">
        <v>136</v>
      </c>
      <c r="AL21">
        <v>0.03</v>
      </c>
      <c r="AM21">
        <v>425466</v>
      </c>
      <c r="AN21">
        <v>79.150000000000006</v>
      </c>
      <c r="AO21">
        <v>86.8</v>
      </c>
      <c r="AP21">
        <v>7.23</v>
      </c>
      <c r="AQ21">
        <v>158999</v>
      </c>
      <c r="AR21">
        <v>63.43</v>
      </c>
      <c r="AS21">
        <v>24490</v>
      </c>
      <c r="AT21">
        <v>9.77</v>
      </c>
      <c r="AU21">
        <v>448</v>
      </c>
      <c r="AV21">
        <v>0.18</v>
      </c>
      <c r="AW21">
        <v>183937</v>
      </c>
      <c r="AX21">
        <v>73.38</v>
      </c>
      <c r="AY21">
        <v>35.01</v>
      </c>
      <c r="AZ21">
        <v>8.34</v>
      </c>
    </row>
    <row r="22" spans="1:52" x14ac:dyDescent="0.35">
      <c r="A22" t="s">
        <v>41</v>
      </c>
      <c r="W22">
        <v>488227</v>
      </c>
      <c r="X22">
        <v>63.75</v>
      </c>
      <c r="Y22">
        <v>62646</v>
      </c>
      <c r="Z22">
        <v>8.18</v>
      </c>
      <c r="AA22">
        <v>2784</v>
      </c>
      <c r="AB22">
        <v>0.37</v>
      </c>
      <c r="AC22">
        <v>553657</v>
      </c>
      <c r="AD22">
        <v>72.3</v>
      </c>
      <c r="AE22">
        <v>112.98</v>
      </c>
      <c r="AF22">
        <v>9.41</v>
      </c>
      <c r="AG22">
        <v>206611</v>
      </c>
      <c r="AH22">
        <v>64.3</v>
      </c>
      <c r="AI22">
        <v>47804</v>
      </c>
      <c r="AJ22">
        <v>14.87</v>
      </c>
      <c r="AK22">
        <v>550</v>
      </c>
      <c r="AL22">
        <v>0.17</v>
      </c>
      <c r="AM22">
        <v>254965</v>
      </c>
      <c r="AN22">
        <v>79.34</v>
      </c>
      <c r="AO22">
        <v>69.23</v>
      </c>
      <c r="AP22">
        <v>6.99</v>
      </c>
      <c r="AQ22">
        <v>125999</v>
      </c>
      <c r="AR22">
        <v>69.12</v>
      </c>
      <c r="AS22">
        <v>17404</v>
      </c>
      <c r="AT22">
        <v>9.5500000000000007</v>
      </c>
      <c r="AU22">
        <v>320</v>
      </c>
      <c r="AV22">
        <v>0.17</v>
      </c>
      <c r="AW22">
        <v>143723</v>
      </c>
      <c r="AX22">
        <v>78.84</v>
      </c>
      <c r="AY22">
        <v>43.17</v>
      </c>
      <c r="AZ22">
        <v>10.28</v>
      </c>
    </row>
    <row r="23" spans="1:52" x14ac:dyDescent="0.35">
      <c r="A23" t="s">
        <v>42</v>
      </c>
      <c r="C23">
        <v>66809</v>
      </c>
      <c r="D23">
        <v>21.39</v>
      </c>
      <c r="E23">
        <v>4927</v>
      </c>
      <c r="F23">
        <v>1.58</v>
      </c>
      <c r="G23">
        <v>2004</v>
      </c>
      <c r="H23">
        <v>0.64</v>
      </c>
      <c r="I23">
        <v>73740</v>
      </c>
      <c r="J23">
        <v>23.61</v>
      </c>
      <c r="K23">
        <v>19.32</v>
      </c>
      <c r="L23">
        <v>3.12</v>
      </c>
      <c r="M23">
        <v>216161</v>
      </c>
      <c r="N23">
        <v>45</v>
      </c>
      <c r="O23">
        <v>35938</v>
      </c>
      <c r="P23">
        <v>7.48</v>
      </c>
      <c r="Q23">
        <v>18191</v>
      </c>
      <c r="R23">
        <v>3.79</v>
      </c>
      <c r="S23">
        <v>270290</v>
      </c>
      <c r="T23">
        <v>56.27</v>
      </c>
      <c r="U23">
        <v>47.34</v>
      </c>
      <c r="V23">
        <v>6.86</v>
      </c>
    </row>
    <row r="24" spans="1:52" x14ac:dyDescent="0.35">
      <c r="A24" t="s">
        <v>43</v>
      </c>
      <c r="AQ24">
        <v>12958</v>
      </c>
      <c r="AR24">
        <v>61.5</v>
      </c>
      <c r="AS24">
        <v>1787</v>
      </c>
      <c r="AT24">
        <v>8.48</v>
      </c>
      <c r="AW24">
        <v>14745</v>
      </c>
      <c r="AX24">
        <v>69.98</v>
      </c>
      <c r="AY24">
        <v>2.5099999999999998</v>
      </c>
      <c r="AZ24">
        <v>2.5099999999999998</v>
      </c>
    </row>
    <row r="25" spans="1:52" x14ac:dyDescent="0.35">
      <c r="A25" t="s">
        <v>44</v>
      </c>
      <c r="AQ25">
        <v>366</v>
      </c>
      <c r="AR25">
        <v>4.22</v>
      </c>
      <c r="AS25">
        <v>7884</v>
      </c>
      <c r="AT25">
        <v>90.91</v>
      </c>
      <c r="AU25">
        <v>10</v>
      </c>
      <c r="AV25">
        <v>0.12</v>
      </c>
      <c r="AW25">
        <v>8260</v>
      </c>
      <c r="AX25">
        <v>95.25</v>
      </c>
      <c r="AY25">
        <v>11.11</v>
      </c>
      <c r="AZ25">
        <v>1.85</v>
      </c>
    </row>
    <row r="26" spans="1:52" x14ac:dyDescent="0.35">
      <c r="A26" t="s">
        <v>45</v>
      </c>
      <c r="AG26">
        <v>14422</v>
      </c>
      <c r="AH26">
        <v>64.78</v>
      </c>
      <c r="AI26">
        <v>2319</v>
      </c>
      <c r="AJ26">
        <v>10.42</v>
      </c>
      <c r="AM26">
        <v>16741</v>
      </c>
      <c r="AN26">
        <v>75.2</v>
      </c>
      <c r="AO26">
        <v>9.44</v>
      </c>
      <c r="AP26">
        <v>7.26</v>
      </c>
    </row>
    <row r="27" spans="1:52" x14ac:dyDescent="0.35">
      <c r="A27" t="s">
        <v>46</v>
      </c>
      <c r="AQ27">
        <v>3112</v>
      </c>
      <c r="AR27">
        <v>55.74</v>
      </c>
      <c r="AS27">
        <v>22</v>
      </c>
      <c r="AT27">
        <v>0.39</v>
      </c>
      <c r="AW27">
        <v>3134</v>
      </c>
      <c r="AX27">
        <v>56.13</v>
      </c>
      <c r="AY27">
        <v>0.93</v>
      </c>
      <c r="AZ27">
        <v>0.93</v>
      </c>
    </row>
    <row r="28" spans="1:52" x14ac:dyDescent="0.35">
      <c r="A28" t="s">
        <v>47</v>
      </c>
      <c r="AG28">
        <v>130427</v>
      </c>
      <c r="AH28">
        <v>66.2</v>
      </c>
      <c r="AI28">
        <v>23449</v>
      </c>
      <c r="AJ28">
        <v>11.9</v>
      </c>
      <c r="AM28">
        <v>153876</v>
      </c>
      <c r="AN28">
        <v>78.099999999999994</v>
      </c>
      <c r="AO28">
        <v>54.97</v>
      </c>
      <c r="AP28">
        <v>9.48</v>
      </c>
    </row>
    <row r="29" spans="1:52" x14ac:dyDescent="0.35">
      <c r="A29" t="s">
        <v>48</v>
      </c>
      <c r="AQ29">
        <v>2</v>
      </c>
      <c r="AR29">
        <v>0.04</v>
      </c>
      <c r="AS29">
        <v>4297</v>
      </c>
      <c r="AT29">
        <v>90.94</v>
      </c>
      <c r="AW29">
        <v>4299</v>
      </c>
      <c r="AX29">
        <v>90.98</v>
      </c>
      <c r="AY29">
        <v>4.76</v>
      </c>
      <c r="AZ29">
        <v>0.99</v>
      </c>
    </row>
    <row r="30" spans="1:52" x14ac:dyDescent="0.35">
      <c r="A30" t="s">
        <v>49</v>
      </c>
      <c r="C30">
        <v>24468</v>
      </c>
      <c r="D30">
        <v>55.44</v>
      </c>
      <c r="E30">
        <v>1117</v>
      </c>
      <c r="F30">
        <v>2.5299999999999998</v>
      </c>
      <c r="G30">
        <v>803</v>
      </c>
      <c r="H30">
        <v>1.82</v>
      </c>
      <c r="I30">
        <v>26388</v>
      </c>
      <c r="J30">
        <v>59.79</v>
      </c>
      <c r="K30">
        <v>45.19</v>
      </c>
      <c r="L30">
        <v>17.38</v>
      </c>
    </row>
    <row r="31" spans="1:52" x14ac:dyDescent="0.35">
      <c r="A31" t="s">
        <v>50</v>
      </c>
      <c r="C31">
        <v>14388</v>
      </c>
      <c r="D31">
        <v>21.14</v>
      </c>
      <c r="E31">
        <v>1463</v>
      </c>
      <c r="F31">
        <v>2.15</v>
      </c>
      <c r="G31">
        <v>1</v>
      </c>
      <c r="I31">
        <v>15852</v>
      </c>
      <c r="J31">
        <v>23.29</v>
      </c>
      <c r="K31">
        <v>14.88</v>
      </c>
      <c r="L31">
        <v>4.8</v>
      </c>
    </row>
    <row r="32" spans="1:52" x14ac:dyDescent="0.35">
      <c r="A32" t="s">
        <v>51</v>
      </c>
      <c r="C32">
        <v>7435</v>
      </c>
      <c r="D32">
        <v>34.119999999999997</v>
      </c>
      <c r="E32">
        <v>489</v>
      </c>
      <c r="F32">
        <v>2.2400000000000002</v>
      </c>
      <c r="G32">
        <v>111</v>
      </c>
      <c r="H32">
        <v>0.51</v>
      </c>
      <c r="I32">
        <v>8035</v>
      </c>
      <c r="J32">
        <v>36.869999999999997</v>
      </c>
      <c r="K32">
        <v>15.33</v>
      </c>
      <c r="L32">
        <v>5.9</v>
      </c>
    </row>
    <row r="33" spans="1:52" x14ac:dyDescent="0.35">
      <c r="A33" t="s">
        <v>52</v>
      </c>
      <c r="M33">
        <v>150743</v>
      </c>
      <c r="N33">
        <v>44</v>
      </c>
      <c r="O33">
        <v>10074</v>
      </c>
      <c r="P33">
        <v>2.94</v>
      </c>
      <c r="Q33">
        <v>480</v>
      </c>
      <c r="R33">
        <v>0.14000000000000001</v>
      </c>
      <c r="S33">
        <v>161297</v>
      </c>
      <c r="T33">
        <v>47.08</v>
      </c>
      <c r="U33">
        <v>49.19</v>
      </c>
      <c r="V33">
        <v>10.25</v>
      </c>
    </row>
    <row r="34" spans="1:52" x14ac:dyDescent="0.35">
      <c r="A34" t="s">
        <v>53</v>
      </c>
      <c r="AQ34">
        <v>3159</v>
      </c>
      <c r="AR34">
        <v>37.68</v>
      </c>
      <c r="AS34">
        <v>2996</v>
      </c>
      <c r="AT34">
        <v>35.74</v>
      </c>
      <c r="AW34">
        <v>6155</v>
      </c>
      <c r="AX34">
        <v>73.42</v>
      </c>
      <c r="AY34">
        <v>0.96</v>
      </c>
      <c r="AZ34">
        <v>0.96</v>
      </c>
    </row>
    <row r="35" spans="1:52" x14ac:dyDescent="0.35">
      <c r="A35" t="s">
        <v>54</v>
      </c>
      <c r="M35">
        <v>9549</v>
      </c>
      <c r="N35">
        <v>21.33</v>
      </c>
      <c r="O35">
        <v>1757</v>
      </c>
      <c r="P35">
        <v>3.92</v>
      </c>
      <c r="Q35">
        <v>2929</v>
      </c>
      <c r="R35">
        <v>6.54</v>
      </c>
      <c r="S35">
        <v>14235</v>
      </c>
      <c r="T35">
        <v>31.79</v>
      </c>
      <c r="U35">
        <v>2.79</v>
      </c>
      <c r="V35">
        <v>2.79</v>
      </c>
    </row>
    <row r="36" spans="1:52" x14ac:dyDescent="0.35">
      <c r="A36" t="s">
        <v>55</v>
      </c>
      <c r="M36">
        <v>75747</v>
      </c>
      <c r="N36">
        <v>27.24</v>
      </c>
      <c r="O36">
        <v>6971</v>
      </c>
      <c r="P36">
        <v>2.5099999999999998</v>
      </c>
      <c r="Q36">
        <v>518</v>
      </c>
      <c r="R36">
        <v>0.19</v>
      </c>
      <c r="S36">
        <v>83236</v>
      </c>
      <c r="T36">
        <v>29.94</v>
      </c>
      <c r="U36">
        <v>34.51</v>
      </c>
      <c r="V36">
        <v>9.59</v>
      </c>
    </row>
    <row r="37" spans="1:52" x14ac:dyDescent="0.35">
      <c r="A37" t="s">
        <v>56</v>
      </c>
      <c r="M37">
        <v>30451</v>
      </c>
      <c r="N37">
        <v>24.34</v>
      </c>
      <c r="O37">
        <v>5301</v>
      </c>
      <c r="P37">
        <v>4.24</v>
      </c>
      <c r="S37">
        <v>35752</v>
      </c>
      <c r="T37">
        <v>28.58</v>
      </c>
      <c r="U37">
        <v>17.2</v>
      </c>
      <c r="V37">
        <v>4.91</v>
      </c>
    </row>
    <row r="38" spans="1:52" x14ac:dyDescent="0.35">
      <c r="A38" t="s">
        <v>57</v>
      </c>
      <c r="W38">
        <v>286504</v>
      </c>
      <c r="X38" t="s">
        <v>137</v>
      </c>
      <c r="Y38">
        <v>89756</v>
      </c>
      <c r="Z38" t="s">
        <v>138</v>
      </c>
      <c r="AA38">
        <v>3725</v>
      </c>
      <c r="AB38" t="s">
        <v>139</v>
      </c>
      <c r="AC38">
        <v>379985</v>
      </c>
      <c r="AD38" t="s">
        <v>140</v>
      </c>
      <c r="AE38" t="s">
        <v>141</v>
      </c>
      <c r="AF38" s="1">
        <v>11202</v>
      </c>
    </row>
    <row r="39" spans="1:52" x14ac:dyDescent="0.35">
      <c r="A39" t="s">
        <v>58</v>
      </c>
      <c r="C39">
        <v>31650</v>
      </c>
      <c r="D39">
        <v>22.13</v>
      </c>
      <c r="E39">
        <v>347</v>
      </c>
      <c r="F39">
        <v>0.24</v>
      </c>
      <c r="I39">
        <v>31997</v>
      </c>
      <c r="J39">
        <v>22.37</v>
      </c>
      <c r="K39">
        <v>12.41</v>
      </c>
      <c r="L39">
        <v>12.41</v>
      </c>
    </row>
    <row r="40" spans="1:52" x14ac:dyDescent="0.35">
      <c r="A40" t="s">
        <v>59</v>
      </c>
      <c r="W40">
        <v>214737</v>
      </c>
      <c r="X40">
        <v>67.47</v>
      </c>
      <c r="Y40">
        <v>20332</v>
      </c>
      <c r="Z40">
        <v>6.39</v>
      </c>
      <c r="AC40">
        <v>235069</v>
      </c>
      <c r="AD40">
        <v>73.86</v>
      </c>
      <c r="AE40">
        <v>53.74</v>
      </c>
      <c r="AF40">
        <v>7.68</v>
      </c>
    </row>
    <row r="41" spans="1:52" x14ac:dyDescent="0.35">
      <c r="A41" t="s">
        <v>60</v>
      </c>
      <c r="C41">
        <v>138451</v>
      </c>
      <c r="D41">
        <v>42.76</v>
      </c>
      <c r="E41">
        <v>1269</v>
      </c>
      <c r="F41">
        <v>0.39</v>
      </c>
      <c r="I41">
        <v>139720</v>
      </c>
      <c r="J41">
        <v>43.15</v>
      </c>
      <c r="K41">
        <v>30.89</v>
      </c>
      <c r="L41">
        <v>12.36</v>
      </c>
    </row>
    <row r="42" spans="1:52" x14ac:dyDescent="0.35">
      <c r="A42" t="s">
        <v>61</v>
      </c>
      <c r="C42">
        <v>60271</v>
      </c>
      <c r="D42">
        <v>40.619999999999997</v>
      </c>
      <c r="E42">
        <v>2634</v>
      </c>
      <c r="F42">
        <v>1.78</v>
      </c>
      <c r="G42" t="s">
        <v>82</v>
      </c>
      <c r="H42" t="s">
        <v>82</v>
      </c>
      <c r="I42">
        <v>62905</v>
      </c>
      <c r="J42">
        <v>42.4</v>
      </c>
      <c r="K42">
        <v>9.5500000000000007</v>
      </c>
      <c r="L42">
        <v>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Разживина</dc:creator>
  <cp:lastModifiedBy>Наталья Разживина</cp:lastModifiedBy>
  <dcterms:created xsi:type="dcterms:W3CDTF">2015-06-05T18:19:34Z</dcterms:created>
  <dcterms:modified xsi:type="dcterms:W3CDTF">2026-01-19T18:49:47Z</dcterms:modified>
</cp:coreProperties>
</file>